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435e1f6f2f51c534/Pictures/Screenshots/Sales Performance ^0 Profitability Dashboard/"/>
    </mc:Choice>
  </mc:AlternateContent>
  <xr:revisionPtr revIDLastSave="338" documentId="8_{97ABFF47-8E40-489C-B3D0-7DD5BE4A8B43}" xr6:coauthVersionLast="47" xr6:coauthVersionMax="47" xr10:uidLastSave="{B901FF73-3DF3-40F1-BF3A-C466D38D67AA}"/>
  <bookViews>
    <workbookView xWindow="-108" yWindow="-108" windowWidth="23256" windowHeight="12456" activeTab="6" xr2:uid="{CB324C26-169E-40AE-950B-DEB6E1996117}"/>
  </bookViews>
  <sheets>
    <sheet name="Sales_Mar" sheetId="6" r:id="rId1"/>
    <sheet name="Sales_Jan" sheetId="5" r:id="rId2"/>
    <sheet name="Sales_Feb" sheetId="4" r:id="rId3"/>
    <sheet name="Products" sheetId="3" r:id="rId4"/>
    <sheet name="Sales" sheetId="7" r:id="rId5"/>
    <sheet name="Dashboard" sheetId="9" r:id="rId6"/>
    <sheet name="Customers" sheetId="2" r:id="rId7"/>
  </sheets>
  <definedNames>
    <definedName name="_xlcn.WorksheetConnection_Book1Customers1" hidden="1">Customers[]</definedName>
    <definedName name="_xlcn.WorksheetConnection_Book1Products1" hidden="1">Products[]</definedName>
    <definedName name="_xlcn.WorksheetConnection_Book1Sales1" hidden="1">Sales[]</definedName>
    <definedName name="ExternalData_1" localSheetId="6" hidden="1">'Customers'!$A$1:$D$21</definedName>
    <definedName name="ExternalData_2" localSheetId="3" hidden="1">Products!$A$1:$E$16</definedName>
    <definedName name="ExternalData_2" localSheetId="4" hidden="1">Sales!$A$1:$J$136</definedName>
    <definedName name="ExternalData_3" localSheetId="2" hidden="1">Sales_Feb!$A$1:$J$46</definedName>
    <definedName name="ExternalData_4" localSheetId="1" hidden="1">Sales_Jan!$A$1:$J$46</definedName>
    <definedName name="ExternalData_5" localSheetId="0" hidden="1">Sales_Mar!$A$1:$J$46</definedName>
    <definedName name="Slicer_Customer_Name">#N/A</definedName>
    <definedName name="Slicer_Payment_Mode">#N/A</definedName>
    <definedName name="Slicer_Product_Name">#N/A</definedName>
    <definedName name="Slicer_Region">#N/A</definedName>
    <definedName name="Timeline_Order_Date">#N/A</definedName>
  </definedNames>
  <calcPr calcId="191029"/>
  <pivotCaches>
    <pivotCache cacheId="0" r:id="rId8"/>
  </pivotCaches>
  <extLst>
    <ext xmlns:x14="http://schemas.microsoft.com/office/spreadsheetml/2009/9/main" uri="{876F7934-8845-4945-9796-88D515C7AA90}">
      <x14:pivotCaches>
        <pivotCache cacheId="1"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841E416B-1EF1-43b6-AB56-02D37102CBD5}">
      <x15:pivotCaches>
        <pivotCache cacheId="2" r:id="rId14"/>
        <pivotCache cacheId="3" r:id="rId15"/>
        <pivotCache cacheId="4" r:id="rId16"/>
        <pivotCache cacheId="5" r:id="rId17"/>
        <pivotCache cacheId="6" r:id="rId18"/>
        <pivotCache cacheId="7" r:id="rId19"/>
      </x15:pivotCaches>
    </ext>
    <ext xmlns:x15="http://schemas.microsoft.com/office/spreadsheetml/2010/11/main" uri="{983426D0-5260-488c-9760-48F4B6AC55F4}">
      <x15:pivotTableReferences>
        <x15:pivotTableReference r:id="rId20"/>
        <x15:pivotTableReference r:id="rId21"/>
        <x15:pivotTableReference r:id="rId22"/>
        <x15:pivotTableReference r:id="rId23"/>
        <x15:pivotTableReference r:id="rId24"/>
        <x15:pivotTableReference r:id="rId25"/>
      </x15:pivotTableReferences>
    </ext>
    <ext xmlns:x15="http://schemas.microsoft.com/office/spreadsheetml/2010/11/main" uri="{A2CB5862-8E78-49c6-8D9D-AF26E26ADB89}">
      <x15:timelineCachePivotCaches>
        <pivotCache cacheId="8"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1!Sales"/>
          <x15:modelTable id="Products" name="Products" connection="WorksheetConnection_Book1!Products"/>
          <x15:modelTable id="Customers" name="Customers" connection="WorksheetConnection_Book1!Customers"/>
        </x15:modelTables>
        <x15:modelRelationships>
          <x15:modelRelationship fromTable="Sales" fromColumn="Customer_ID" toTable="Customers" toColumn="Customer_ID"/>
          <x15:modelRelationship fromTable="Sales" fromColumn="Product_ID" toTable="Products" toColumn="Product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ED461-C2DA-4B6A-AD34-7A10AE9D821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FC07252-11DC-41EB-ACA5-CEDE9BC52926}"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9AD50F26-68FF-4F8F-9255-3C8B9BB29305}" keepAlive="1" name="Query - Sales" description="Connection to the 'Sales' query in the workbook." type="5" refreshedVersion="0" background="1">
    <dbPr connection="Provider=Microsoft.Mashup.OleDb.1;Data Source=$Workbook$;Location=Sales;Extended Properties=&quot;&quot;" command="SELECT * FROM [Sales]"/>
  </connection>
  <connection id="4" xr16:uid="{D7421282-03EE-491F-A834-FB051F7C2FB3}" keepAlive="1" name="Query - Sales_Feb" description="Connection to the 'Sales_Feb' query in the workbook." type="5" refreshedVersion="8" background="1" saveData="1">
    <dbPr connection="Provider=Microsoft.Mashup.OleDb.1;Data Source=$Workbook$;Location=Sales_Feb;Extended Properties=&quot;&quot;" command="SELECT * FROM [Sales_Feb]"/>
  </connection>
  <connection id="5" xr16:uid="{B2CEE4FE-7A76-40F0-A9C0-EFC834039C73}" keepAlive="1" name="Query - Sales_Jan" description="Connection to the 'Sales_Jan' query in the workbook." type="5" refreshedVersion="8" background="1" saveData="1">
    <dbPr connection="Provider=Microsoft.Mashup.OleDb.1;Data Source=$Workbook$;Location=Sales_Jan;Extended Properties=&quot;&quot;" command="SELECT * FROM [Sales_Jan]"/>
  </connection>
  <connection id="6" xr16:uid="{8B623978-B073-4554-ACF8-AEA1808C1845}" keepAlive="1" name="Query - Sales_Mar" description="Connection to the 'Sales_Mar' query in the workbook." type="5" refreshedVersion="8" background="1" saveData="1">
    <dbPr connection="Provider=Microsoft.Mashup.OleDb.1;Data Source=$Workbook$;Location=Sales_Mar;Extended Properties=&quot;&quot;" command="SELECT * FROM [Sales_Mar]"/>
  </connection>
  <connection id="7" xr16:uid="{08D0EA2D-DF07-4CD0-BE3A-5553252E7ED2}" keepAlive="1" name="Query - Sales1" description="Connection to the 'Sales' query in the workbook." type="5" refreshedVersion="8" background="1" saveData="1">
    <dbPr connection="Provider=Microsoft.Mashup.OleDb.1;Data Source=$Workbook$;Location=Sales;Extended Properties=&quot;&quot;" command="SELECT * FROM [Sales]"/>
  </connection>
  <connection id="8" xr16:uid="{71CB3BE7-C80E-41B8-9216-F8CBFD8544C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C4B0E061-B4A2-4FAC-915B-0B99C1ED3D8F}"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10" xr16:uid="{5E60774F-03E9-4A22-8964-56DAB9B11AC1}"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 id="11" xr16:uid="{FB00878E-BEE5-4BFB-8CB4-84AFF58E7B4A}" name="WorksheetConnection_Book1!Sales" type="102" refreshedVersion="8" minRefreshableVersion="5">
    <extLst>
      <ext xmlns:x15="http://schemas.microsoft.com/office/spreadsheetml/2010/11/main" uri="{DE250136-89BD-433C-8126-D09CA5730AF9}">
        <x15:connection id="Sales">
          <x15:rangePr sourceName="_xlcn.WorksheetConnection_Book1Sales1"/>
        </x15:connection>
      </ext>
    </extLst>
  </connection>
</connections>
</file>

<file path=xl/sharedStrings.xml><?xml version="1.0" encoding="utf-8"?>
<sst xmlns="http://schemas.openxmlformats.org/spreadsheetml/2006/main" count="1266" uniqueCount="253">
  <si>
    <t>Customer_ID</t>
  </si>
  <si>
    <t>Customer_Name</t>
  </si>
  <si>
    <t>City</t>
  </si>
  <si>
    <t>Region</t>
  </si>
  <si>
    <t>C101</t>
  </si>
  <si>
    <t>Aarav Traders</t>
  </si>
  <si>
    <t>Hyderabad</t>
  </si>
  <si>
    <t>South</t>
  </si>
  <si>
    <t>C102</t>
  </si>
  <si>
    <t>Bright Stores</t>
  </si>
  <si>
    <t>Bengaluru</t>
  </si>
  <si>
    <t>C103</t>
  </si>
  <si>
    <t>City Mart</t>
  </si>
  <si>
    <t>Chennai</t>
  </si>
  <si>
    <t>C104</t>
  </si>
  <si>
    <t>Delta Enterprises</t>
  </si>
  <si>
    <t>Vijayawada</t>
  </si>
  <si>
    <t>C105</t>
  </si>
  <si>
    <t>Elite Retail</t>
  </si>
  <si>
    <t>Pune</t>
  </si>
  <si>
    <t>West</t>
  </si>
  <si>
    <t>C106</t>
  </si>
  <si>
    <t>Fresh Choice</t>
  </si>
  <si>
    <t>C107</t>
  </si>
  <si>
    <t>Galaxy Supplies</t>
  </si>
  <si>
    <t>C108</t>
  </si>
  <si>
    <t>Green Basket</t>
  </si>
  <si>
    <t>C109</t>
  </si>
  <si>
    <t>Horizon Retail</t>
  </si>
  <si>
    <t>Mumbai</t>
  </si>
  <si>
    <t>C110</t>
  </si>
  <si>
    <t>Ideal Stores</t>
  </si>
  <si>
    <t>C111</t>
  </si>
  <si>
    <t>Jupiter Mart</t>
  </si>
  <si>
    <t>C112</t>
  </si>
  <si>
    <t>Kaveri Traders</t>
  </si>
  <si>
    <t>C113</t>
  </si>
  <si>
    <t>Lotus Retail</t>
  </si>
  <si>
    <t>C114</t>
  </si>
  <si>
    <t>Metro Supplies</t>
  </si>
  <si>
    <t>C115</t>
  </si>
  <si>
    <t>Nova Stores</t>
  </si>
  <si>
    <t>C116</t>
  </si>
  <si>
    <t>Om Sai Traders</t>
  </si>
  <si>
    <t>C117</t>
  </si>
  <si>
    <t>Prime Mart</t>
  </si>
  <si>
    <t>C118</t>
  </si>
  <si>
    <t>Quick Buy</t>
  </si>
  <si>
    <t>C119</t>
  </si>
  <si>
    <t>Royal Enterprises</t>
  </si>
  <si>
    <t>C120</t>
  </si>
  <si>
    <t>Sunrise Stores</t>
  </si>
  <si>
    <t>Product_ID</t>
  </si>
  <si>
    <t>Product_Name</t>
  </si>
  <si>
    <t>Category</t>
  </si>
  <si>
    <t>Unit_Price</t>
  </si>
  <si>
    <t>Unit_Cost</t>
  </si>
  <si>
    <t>P101</t>
  </si>
  <si>
    <t>Laptop 15</t>
  </si>
  <si>
    <t>Computers</t>
  </si>
  <si>
    <t>P102</t>
  </si>
  <si>
    <t>Monitor 24</t>
  </si>
  <si>
    <t>P103</t>
  </si>
  <si>
    <t>Keyboard</t>
  </si>
  <si>
    <t>Accessories</t>
  </si>
  <si>
    <t>P104</t>
  </si>
  <si>
    <t>Mouse</t>
  </si>
  <si>
    <t>P105</t>
  </si>
  <si>
    <t>Printer</t>
  </si>
  <si>
    <t>Printers</t>
  </si>
  <si>
    <t>P106</t>
  </si>
  <si>
    <t>Office Chair</t>
  </si>
  <si>
    <t>Furniture</t>
  </si>
  <si>
    <t>P107</t>
  </si>
  <si>
    <t>Desk</t>
  </si>
  <si>
    <t>P108</t>
  </si>
  <si>
    <t>Headset</t>
  </si>
  <si>
    <t>P109</t>
  </si>
  <si>
    <t>Webcam</t>
  </si>
  <si>
    <t>P110</t>
  </si>
  <si>
    <t>External SSD</t>
  </si>
  <si>
    <t>Storage</t>
  </si>
  <si>
    <t>P111</t>
  </si>
  <si>
    <t>USB Hub</t>
  </si>
  <si>
    <t>P112</t>
  </si>
  <si>
    <t>Router</t>
  </si>
  <si>
    <t>Networking</t>
  </si>
  <si>
    <t>P113</t>
  </si>
  <si>
    <t>Tablet</t>
  </si>
  <si>
    <t>Mobile</t>
  </si>
  <si>
    <t>P114</t>
  </si>
  <si>
    <t>Smartphone</t>
  </si>
  <si>
    <t>P115</t>
  </si>
  <si>
    <t>Power Bank</t>
  </si>
  <si>
    <t>Order_Date</t>
  </si>
  <si>
    <t>Quantity</t>
  </si>
  <si>
    <t>Discount</t>
  </si>
  <si>
    <t>Sales_Amount</t>
  </si>
  <si>
    <t>Cost_Amount</t>
  </si>
  <si>
    <t>Profit</t>
  </si>
  <si>
    <t>Payment_Mode</t>
  </si>
  <si>
    <t>Bank Transfer</t>
  </si>
  <si>
    <t>UPI</t>
  </si>
  <si>
    <t>Cash</t>
  </si>
  <si>
    <t>Card</t>
  </si>
  <si>
    <t>Total Sales</t>
  </si>
  <si>
    <t>Total Profit</t>
  </si>
  <si>
    <t>Total Orders</t>
  </si>
  <si>
    <t>Total Customers</t>
  </si>
  <si>
    <t>Average Order Value</t>
  </si>
  <si>
    <t>Profit Margin %</t>
  </si>
  <si>
    <t>Top Product</t>
  </si>
  <si>
    <t>Top Region</t>
  </si>
  <si>
    <t>Sales Performance &amp; Profitability Dashboard</t>
  </si>
  <si>
    <t>Charts&amp;Filters</t>
  </si>
  <si>
    <t>Order_ID</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</si>
  <si>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</si>
  <si>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</si>
  <si>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</si>
  <si>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</si>
  <si>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</si>
  <si>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</si>
  <si>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</si>
  <si>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</si>
  <si>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</si>
  <si>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</si>
  <si>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</si>
  <si>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</si>
  <si>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</si>
  <si>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</si>
  <si>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</si>
  <si>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</si>
  <si>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</si>
  <si>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</si>
  <si>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</si>
  <si>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</si>
  <si>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</si>
  <si>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</si>
  <si>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</si>
  <si>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</si>
  <si>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</si>
  <si>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</si>
  <si>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</si>
  <si>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</si>
  <si>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</si>
  <si>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</si>
  <si>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</si>
  <si>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</si>
  <si>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</si>
  <si>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</si>
  <si>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</si>
  <si>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</si>
  <si>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</si>
  <si>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</si>
  <si>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</si>
  <si>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</si>
  <si>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</si>
  <si>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</si>
  <si>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</si>
  <si>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</si>
  <si>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</si>
  <si>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ORD01001</t>
  </si>
  <si>
    <t>ORD01002</t>
  </si>
  <si>
    <t>ORD01003</t>
  </si>
  <si>
    <t>ORD01004</t>
  </si>
  <si>
    <t>upi</t>
  </si>
  <si>
    <t>ORD01005</t>
  </si>
  <si>
    <t>ORD01006</t>
  </si>
  <si>
    <t>ORD01007</t>
  </si>
  <si>
    <t>ORD01008</t>
  </si>
  <si>
    <t>ORD01009</t>
  </si>
  <si>
    <t xml:space="preserve">UPI </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</si>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</sst>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5" x14ac:knownFonts="1">
    <font>
      <sz val="11"/>
      <color theme="1"/>
      <name val="Calibri"/>
      <family val="2"/>
      <scheme val="minor"/>
    </font>
    <font>
      <sz val="20"/>
      <color theme="1"/>
      <name val="Calibri"/>
      <family val="2"/>
      <scheme val="minor"/>
    </font>
    <font>
      <b/>
      <sz val="22"/>
      <color theme="4" tint="-0.499984740745262"/>
      <name val="Calibri"/>
      <family val="2"/>
      <scheme val="minor"/>
    </font>
    <font>
      <sz val="8"/>
      <name val="Calibri"/>
      <family val="2"/>
      <scheme val="minor"/>
    </font>
    <font>
      <b/>
      <sz val="14"/>
      <color theme="4" tint="-0.499984740745262"/>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8">
    <xf numFmtId="0" fontId="0" fillId="0" borderId="0" xfId="0"/>
    <xf numFmtId="14" fontId="0" fillId="0" borderId="0" xfId="0" applyNumberForma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164" fontId="1" fillId="0" borderId="1" xfId="0" applyNumberFormat="1" applyFont="1" applyBorder="1" applyAlignment="1">
      <alignment horizontal="center" vertical="center"/>
    </xf>
    <xf numFmtId="10"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2" fillId="2" borderId="0" xfId="0" applyFont="1" applyFill="1" applyAlignment="1">
      <alignment horizontal="center"/>
    </xf>
  </cellXfs>
  <cellStyles count="1">
    <cellStyle name="Normal" xfId="0" builtinId="0"/>
  </cellStyles>
  <dxfs count="61">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font>
        <sz val="14"/>
      </font>
    </dxf>
    <dxf>
      <font>
        <b/>
      </font>
    </dxf>
    <dxf>
      <numFmt numFmtId="14" formatCode="0.00%"/>
    </dxf>
    <dxf>
      <fill>
        <patternFill patternType="solid">
          <bgColor theme="4" tint="0.79998168889431442"/>
        </patternFill>
      </fill>
    </dxf>
    <dxf>
      <font>
        <color theme="4" tint="-0.499984740745262"/>
      </font>
    </dxf>
    <dxf>
      <font>
        <b/>
      </font>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alignment horizontal="center"/>
    </dxf>
    <dxf>
      <alignment vertical="center"/>
    </dxf>
    <dxf>
      <font>
        <sz val="20"/>
      </font>
    </dxf>
    <dxf>
      <alignment horizontal="center"/>
    </dxf>
    <dxf>
      <alignment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869707E-786A-4EA8-B8C6-81887579B52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9.xml"/><Relationship Id="rId39" Type="http://schemas.openxmlformats.org/officeDocument/2006/relationships/customXml" Target="../customXml/item7.xml"/><Relationship Id="rId21" Type="http://schemas.openxmlformats.org/officeDocument/2006/relationships/pivotTable" Target="pivotTables/pivotTabl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onnections" Target="connections.xml"/><Relationship Id="rId11" Type="http://schemas.microsoft.com/office/2007/relationships/slicerCache" Target="slicerCaches/slicerCache2.xml"/><Relationship Id="rId24" Type="http://schemas.openxmlformats.org/officeDocument/2006/relationships/pivotTable" Target="pivotTables/pivotTable5.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microsoft.com/office/2007/relationships/slicerCache" Target="slicerCaches/slicerCache1.xml"/><Relationship Id="rId19" Type="http://schemas.openxmlformats.org/officeDocument/2006/relationships/pivotCacheDefinition" Target="pivotCache/pivotCacheDefinition8.xml"/><Relationship Id="rId31" Type="http://schemas.openxmlformats.org/officeDocument/2006/relationships/sharedStrings" Target="sharedStrings.xml"/><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3.xml"/><Relationship Id="rId22" Type="http://schemas.openxmlformats.org/officeDocument/2006/relationships/pivotTable" Target="pivotTables/pivotTable3.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1.xml"/><Relationship Id="rId51" Type="http://schemas.openxmlformats.org/officeDocument/2006/relationships/customXml" Target="../customXml/item19.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pivotCacheDefinition" Target="pivotCache/pivotCacheDefinition6.xml"/><Relationship Id="rId25" Type="http://schemas.openxmlformats.org/officeDocument/2006/relationships/pivotTable" Target="pivotTables/pivotTable6.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Table" Target="pivotTables/pivotTable1.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Table" Target="pivotTables/pivotTable4.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sz="1400" b="1" i="0" u="none" strike="noStrike" baseline="0">
                <a:solidFill>
                  <a:schemeClr val="accent1">
                    <a:lumMod val="50000"/>
                  </a:schemeClr>
                </a:solidFill>
              </a:rPr>
              <a:t>Monthly Sales Trends</a:t>
            </a:r>
            <a:endParaRPr lang="en-US" sz="1400" b="1">
              <a:solidFill>
                <a:schemeClr val="accent1">
                  <a:lumMod val="50000"/>
                </a:schemeClr>
              </a:solidFill>
            </a:endParaRPr>
          </a:p>
        </c:rich>
      </c:tx>
      <c:overlay val="0"/>
      <c:spPr>
        <a:solidFill>
          <a:schemeClr val="bg1"/>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invertIfNegative val="0"/>
          <c:cat>
            <c:strLit>
              <c:ptCount val="3"/>
              <c:pt idx="0">
                <c:v>Jan</c:v>
              </c:pt>
              <c:pt idx="1">
                <c:v>Feb</c:v>
              </c:pt>
              <c:pt idx="2">
                <c:v>Mar</c:v>
              </c:pt>
            </c:strLit>
          </c:cat>
          <c:val>
            <c:numLit>
              <c:formatCode>General</c:formatCode>
              <c:ptCount val="3"/>
              <c:pt idx="0">
                <c:v>2100570</c:v>
              </c:pt>
              <c:pt idx="1">
                <c:v>2838480</c:v>
              </c:pt>
              <c:pt idx="2">
                <c:v>2684700</c:v>
              </c:pt>
            </c:numLit>
          </c:val>
          <c:extLst>
            <c:ext xmlns:c16="http://schemas.microsoft.com/office/drawing/2014/chart" uri="{C3380CC4-5D6E-409C-BE32-E72D297353CC}">
              <c16:uniqueId val="{00000000-DFBD-4BBE-8E5C-EC7A815F7B34}"/>
            </c:ext>
          </c:extLst>
        </c:ser>
        <c:dLbls>
          <c:showLegendKey val="0"/>
          <c:showVal val="0"/>
          <c:showCatName val="0"/>
          <c:showSerName val="0"/>
          <c:showPercent val="0"/>
          <c:showBubbleSize val="0"/>
        </c:dLbls>
        <c:gapWidth val="219"/>
        <c:axId val="225899984"/>
        <c:axId val="666624304"/>
      </c:barChart>
      <c:catAx>
        <c:axId val="2258999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24304"/>
        <c:crosses val="autoZero"/>
        <c:auto val="1"/>
        <c:lblAlgn val="ctr"/>
        <c:lblOffset val="100"/>
        <c:noMultiLvlLbl val="0"/>
        <c:extLst>
          <c:ext xmlns:c15="http://schemas.microsoft.com/office/drawing/2012/chart" uri="{F40574EE-89B7-4290-83BB-5DA773EAF853}">
            <c15:numFmt c:formatCode="General" c:sourceLinked="1"/>
          </c:ext>
        </c:extLst>
      </c:catAx>
      <c:valAx>
        <c:axId val="66662430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99984"/>
        <c:crosses val="autoZero"/>
        <c:crossBetween val="between"/>
        <c:extLst>
          <c:ext xmlns:c15="http://schemas.microsoft.com/office/drawing/2012/chart" uri="{F40574EE-89B7-4290-83BB-5DA773EAF853}">
            <c15:numFmt c:formatCode="General" c:sourceLinked="1"/>
          </c:ext>
        </c:extLst>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[Sales_Performance_Profitability_Dashboard.xlsx.xlsx]PivotChartTable9</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sz="1400" b="1" i="0" u="none" strike="noStrike" baseline="0">
                <a:solidFill>
                  <a:schemeClr val="accent1">
                    <a:lumMod val="50000"/>
                  </a:schemeClr>
                </a:solidFill>
              </a:rPr>
              <a:t>Sales by Region</a:t>
            </a:r>
            <a:endParaRPr lang="en-US" sz="1400" b="1">
              <a:solidFill>
                <a:schemeClr val="accent1">
                  <a:lumMod val="50000"/>
                </a:schemeClr>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South</c:v>
              </c:pt>
              <c:pt idx="1">
                <c:v>West</c:v>
              </c:pt>
            </c:strLit>
          </c:cat>
          <c:val>
            <c:numLit>
              <c:formatCode>General</c:formatCode>
              <c:ptCount val="2"/>
              <c:pt idx="0">
                <c:v>5545125</c:v>
              </c:pt>
              <c:pt idx="1">
                <c:v>2078625</c:v>
              </c:pt>
            </c:numLit>
          </c:val>
          <c:extLst>
            <c:ext xmlns:c16="http://schemas.microsoft.com/office/drawing/2014/chart" uri="{C3380CC4-5D6E-409C-BE32-E72D297353CC}">
              <c16:uniqueId val="{00000001-C9B7-4210-B457-3007A855CE9A}"/>
            </c:ext>
          </c:extLst>
        </c:ser>
        <c:dLbls>
          <c:showLegendKey val="0"/>
          <c:showVal val="0"/>
          <c:showCatName val="0"/>
          <c:showSerName val="0"/>
          <c:showPercent val="0"/>
          <c:showBubbleSize val="0"/>
        </c:dLbls>
        <c:gapWidth val="219"/>
        <c:overlap val="-27"/>
        <c:axId val="225899984"/>
        <c:axId val="666624304"/>
      </c:barChart>
      <c:catAx>
        <c:axId val="2258999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24304"/>
        <c:crosses val="autoZero"/>
        <c:auto val="1"/>
        <c:lblAlgn val="ctr"/>
        <c:lblOffset val="100"/>
        <c:noMultiLvlLbl val="0"/>
        <c:extLst>
          <c:ext xmlns:c15="http://schemas.microsoft.com/office/drawing/2012/chart" uri="{F40574EE-89B7-4290-83BB-5DA773EAF853}">
            <c15:numFmt c:formatCode="General" c:sourceLinked="1"/>
          </c:ext>
        </c:extLst>
      </c:catAx>
      <c:valAx>
        <c:axId val="66662430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99984"/>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[Sales_Performance_Profitability_Dashboard.xlsx.xlsx]PivotChartTable10</c15:name>
        <c15:fmtId val="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sz="1400" b="1">
                <a:solidFill>
                  <a:schemeClr val="accent1">
                    <a:lumMod val="50000"/>
                  </a:schemeClr>
                </a:solidFill>
              </a:rPr>
              <a:t> </a:t>
            </a:r>
            <a:r>
              <a:rPr lang="en-IN" sz="1400" b="1" i="0" u="none" strike="noStrike" baseline="0">
                <a:solidFill>
                  <a:schemeClr val="accent1">
                    <a:lumMod val="50000"/>
                  </a:schemeClr>
                </a:solidFill>
              </a:rPr>
              <a:t>Sales by Category</a:t>
            </a:r>
            <a:endParaRPr lang="en-US" sz="14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Accessories</c:v>
              </c:pt>
              <c:pt idx="1">
                <c:v>Computers</c:v>
              </c:pt>
              <c:pt idx="2">
                <c:v>Furniture</c:v>
              </c:pt>
              <c:pt idx="3">
                <c:v>Mobile</c:v>
              </c:pt>
              <c:pt idx="4">
                <c:v>Networking</c:v>
              </c:pt>
              <c:pt idx="5">
                <c:v>Printers</c:v>
              </c:pt>
              <c:pt idx="6">
                <c:v>Storage</c:v>
              </c:pt>
            </c:strLit>
          </c:cat>
          <c:val>
            <c:numLit>
              <c:formatCode>General</c:formatCode>
              <c:ptCount val="7"/>
              <c:pt idx="0">
                <c:v>377940</c:v>
              </c:pt>
              <c:pt idx="1">
                <c:v>3203350</c:v>
              </c:pt>
              <c:pt idx="2">
                <c:v>636850</c:v>
              </c:pt>
              <c:pt idx="3">
                <c:v>2364180</c:v>
              </c:pt>
              <c:pt idx="4">
                <c:v>199680</c:v>
              </c:pt>
              <c:pt idx="5">
                <c:v>748800</c:v>
              </c:pt>
              <c:pt idx="6">
                <c:v>92950</c:v>
              </c:pt>
            </c:numLit>
          </c:val>
          <c:extLst>
            <c:ext xmlns:c16="http://schemas.microsoft.com/office/drawing/2014/chart" uri="{C3380CC4-5D6E-409C-BE32-E72D297353CC}">
              <c16:uniqueId val="{00000000-C5D4-4987-9308-DA516238C6B0}"/>
            </c:ext>
          </c:extLst>
        </c:ser>
        <c:dLbls>
          <c:showLegendKey val="0"/>
          <c:showVal val="0"/>
          <c:showCatName val="0"/>
          <c:showSerName val="0"/>
          <c:showPercent val="0"/>
          <c:showBubbleSize val="0"/>
        </c:dLbls>
        <c:gapWidth val="219"/>
        <c:overlap val="-27"/>
        <c:axId val="659516911"/>
        <c:axId val="1166801936"/>
      </c:barChart>
      <c:catAx>
        <c:axId val="65951691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801936"/>
        <c:crosses val="autoZero"/>
        <c:auto val="1"/>
        <c:lblAlgn val="ctr"/>
        <c:lblOffset val="100"/>
        <c:noMultiLvlLbl val="0"/>
        <c:extLst>
          <c:ext xmlns:c15="http://schemas.microsoft.com/office/drawing/2012/chart" uri="{F40574EE-89B7-4290-83BB-5DA773EAF853}">
            <c15:numFmt c:formatCode="General" c:sourceLinked="1"/>
          </c:ext>
        </c:extLst>
      </c:catAx>
      <c:valAx>
        <c:axId val="1166801936"/>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16911"/>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[Sales_Performance_Profitability_Dashboard.xlsx.xlsx]PivotChartTable11</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Profit by Category</a:t>
            </a:r>
            <a:endParaRPr lang="en-US" sz="14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Accessories</c:v>
              </c:pt>
              <c:pt idx="1">
                <c:v>Computers</c:v>
              </c:pt>
              <c:pt idx="2">
                <c:v>Furniture</c:v>
              </c:pt>
              <c:pt idx="3">
                <c:v>Mobile</c:v>
              </c:pt>
              <c:pt idx="4">
                <c:v>Networking</c:v>
              </c:pt>
              <c:pt idx="5">
                <c:v>Printers</c:v>
              </c:pt>
              <c:pt idx="6">
                <c:v>Storage</c:v>
              </c:pt>
            </c:strLit>
          </c:cat>
          <c:val>
            <c:numLit>
              <c:formatCode>General</c:formatCode>
              <c:ptCount val="7"/>
              <c:pt idx="0">
                <c:v>133630</c:v>
              </c:pt>
              <c:pt idx="1">
                <c:v>345850</c:v>
              </c:pt>
              <c:pt idx="2">
                <c:v>123350</c:v>
              </c:pt>
              <c:pt idx="3">
                <c:v>389980</c:v>
              </c:pt>
              <c:pt idx="4">
                <c:v>38880</c:v>
              </c:pt>
              <c:pt idx="5">
                <c:v>96300</c:v>
              </c:pt>
              <c:pt idx="6">
                <c:v>20950</c:v>
              </c:pt>
            </c:numLit>
          </c:val>
          <c:extLst>
            <c:ext xmlns:c16="http://schemas.microsoft.com/office/drawing/2014/chart" uri="{C3380CC4-5D6E-409C-BE32-E72D297353CC}">
              <c16:uniqueId val="{00000000-C46C-4DB9-86DD-8BEC1B0B5B03}"/>
            </c:ext>
          </c:extLst>
        </c:ser>
        <c:dLbls>
          <c:showLegendKey val="0"/>
          <c:showVal val="0"/>
          <c:showCatName val="0"/>
          <c:showSerName val="0"/>
          <c:showPercent val="0"/>
          <c:showBubbleSize val="0"/>
        </c:dLbls>
        <c:gapWidth val="219"/>
        <c:overlap val="-27"/>
        <c:axId val="225866112"/>
        <c:axId val="1521523376"/>
      </c:barChart>
      <c:catAx>
        <c:axId val="22586611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523376"/>
        <c:crosses val="autoZero"/>
        <c:auto val="1"/>
        <c:lblAlgn val="ctr"/>
        <c:lblOffset val="100"/>
        <c:noMultiLvlLbl val="0"/>
        <c:extLst>
          <c:ext xmlns:c15="http://schemas.microsoft.com/office/drawing/2012/chart" uri="{F40574EE-89B7-4290-83BB-5DA773EAF853}">
            <c15:numFmt c:formatCode="General" c:sourceLinked="1"/>
          </c:ext>
        </c:extLst>
      </c:catAx>
      <c:valAx>
        <c:axId val="1521523376"/>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6611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[Sales_Performance_Profitability_Dashboard.xlsx.xlsx]PivotChartTable12</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Sales by Payment Mode</a:t>
            </a:r>
            <a:endParaRPr lang="en-US" sz="14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77062287329574E-2"/>
          <c:y val="0.19185276073619634"/>
          <c:w val="0.88879858737580808"/>
          <c:h val="0.70410666151393653"/>
        </c:manualLayout>
      </c:layout>
      <c:barChart>
        <c:barDir val="col"/>
        <c:grouping val="clustered"/>
        <c:varyColors val="0"/>
        <c:ser>
          <c:idx val="0"/>
          <c:order val="0"/>
          <c:tx>
            <c:v>Total</c:v>
          </c:tx>
          <c:spPr>
            <a:solidFill>
              <a:schemeClr val="accent1"/>
            </a:solidFill>
            <a:ln>
              <a:noFill/>
            </a:ln>
            <a:effectLst/>
          </c:spPr>
          <c:invertIfNegative val="0"/>
          <c:cat>
            <c:strLit>
              <c:ptCount val="4"/>
              <c:pt idx="0">
                <c:v>Bank Transfer</c:v>
              </c:pt>
              <c:pt idx="1">
                <c:v>Card</c:v>
              </c:pt>
              <c:pt idx="2">
                <c:v>Cash</c:v>
              </c:pt>
              <c:pt idx="3">
                <c:v>UPI</c:v>
              </c:pt>
            </c:strLit>
          </c:cat>
          <c:val>
            <c:numLit>
              <c:formatCode>General</c:formatCode>
              <c:ptCount val="4"/>
              <c:pt idx="0">
                <c:v>1946215</c:v>
              </c:pt>
              <c:pt idx="1">
                <c:v>1823890</c:v>
              </c:pt>
              <c:pt idx="2">
                <c:v>920600</c:v>
              </c:pt>
              <c:pt idx="3">
                <c:v>2933045</c:v>
              </c:pt>
            </c:numLit>
          </c:val>
          <c:extLst>
            <c:ext xmlns:c16="http://schemas.microsoft.com/office/drawing/2014/chart" uri="{C3380CC4-5D6E-409C-BE32-E72D297353CC}">
              <c16:uniqueId val="{00000000-129F-4707-9345-5D2E910426CD}"/>
            </c:ext>
          </c:extLst>
        </c:ser>
        <c:dLbls>
          <c:showLegendKey val="0"/>
          <c:showVal val="0"/>
          <c:showCatName val="0"/>
          <c:showSerName val="0"/>
          <c:showPercent val="0"/>
          <c:showBubbleSize val="0"/>
        </c:dLbls>
        <c:gapWidth val="219"/>
        <c:overlap val="-27"/>
        <c:axId val="658909023"/>
        <c:axId val="1511794032"/>
      </c:barChart>
      <c:catAx>
        <c:axId val="65890902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94032"/>
        <c:crosses val="autoZero"/>
        <c:auto val="1"/>
        <c:lblAlgn val="ctr"/>
        <c:lblOffset val="100"/>
        <c:noMultiLvlLbl val="0"/>
        <c:extLst>
          <c:ext xmlns:c15="http://schemas.microsoft.com/office/drawing/2012/chart" uri="{F40574EE-89B7-4290-83BB-5DA773EAF853}">
            <c15:numFmt c:formatCode="General" c:sourceLinked="1"/>
          </c:ext>
        </c:extLst>
      </c:catAx>
      <c:valAx>
        <c:axId val="1511794032"/>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0902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[Sales_Performance_Profitability_Dashboard.xlsx.xlsx]PivotChartTable13</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IN" sz="1400" b="1" i="0" u="none" strike="noStrike" kern="1200" spc="0" baseline="0">
                <a:solidFill>
                  <a:schemeClr val="accent1">
                    <a:lumMod val="50000"/>
                  </a:schemeClr>
                </a:solidFill>
              </a:rPr>
              <a:t>Top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Desk</c:v>
              </c:pt>
              <c:pt idx="1">
                <c:v>External SSD</c:v>
              </c:pt>
              <c:pt idx="2">
                <c:v>Headset</c:v>
              </c:pt>
              <c:pt idx="3">
                <c:v>Keyboard</c:v>
              </c:pt>
              <c:pt idx="4">
                <c:v>Laptop 15</c:v>
              </c:pt>
              <c:pt idx="5">
                <c:v>Monitor 24</c:v>
              </c:pt>
              <c:pt idx="6">
                <c:v>Mouse</c:v>
              </c:pt>
              <c:pt idx="7">
                <c:v>Office Chair</c:v>
              </c:pt>
              <c:pt idx="8">
                <c:v>Power Bank</c:v>
              </c:pt>
              <c:pt idx="9">
                <c:v>Printer</c:v>
              </c:pt>
            </c:strLit>
          </c:cat>
          <c:val>
            <c:numLit>
              <c:formatCode>General</c:formatCode>
              <c:ptCount val="10"/>
              <c:pt idx="0">
                <c:v>432000</c:v>
              </c:pt>
              <c:pt idx="1">
                <c:v>92950</c:v>
              </c:pt>
              <c:pt idx="2">
                <c:v>67430</c:v>
              </c:pt>
              <c:pt idx="3">
                <c:v>47760</c:v>
              </c:pt>
              <c:pt idx="4">
                <c:v>2994750</c:v>
              </c:pt>
              <c:pt idx="5">
                <c:v>208600</c:v>
              </c:pt>
              <c:pt idx="6">
                <c:v>7245</c:v>
              </c:pt>
              <c:pt idx="7">
                <c:v>204850</c:v>
              </c:pt>
              <c:pt idx="8">
                <c:v>54180</c:v>
              </c:pt>
              <c:pt idx="9">
                <c:v>748800</c:v>
              </c:pt>
            </c:numLit>
          </c:val>
          <c:extLst>
            <c:ext xmlns:c16="http://schemas.microsoft.com/office/drawing/2014/chart" uri="{C3380CC4-5D6E-409C-BE32-E72D297353CC}">
              <c16:uniqueId val="{00000000-5CD0-466E-906C-1883F8033362}"/>
            </c:ext>
          </c:extLst>
        </c:ser>
        <c:dLbls>
          <c:showLegendKey val="0"/>
          <c:showVal val="0"/>
          <c:showCatName val="0"/>
          <c:showSerName val="0"/>
          <c:showPercent val="0"/>
          <c:showBubbleSize val="0"/>
        </c:dLbls>
        <c:gapWidth val="219"/>
        <c:overlap val="-27"/>
        <c:axId val="835245967"/>
        <c:axId val="652179567"/>
      </c:barChart>
      <c:catAx>
        <c:axId val="83524596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79567"/>
        <c:crosses val="autoZero"/>
        <c:auto val="1"/>
        <c:lblAlgn val="ctr"/>
        <c:lblOffset val="100"/>
        <c:noMultiLvlLbl val="0"/>
        <c:extLst>
          <c:ext xmlns:c15="http://schemas.microsoft.com/office/drawing/2012/chart" uri="{F40574EE-89B7-4290-83BB-5DA773EAF853}">
            <c15:numFmt c:formatCode="General" c:sourceLinked="1"/>
          </c:ext>
        </c:extLst>
      </c:catAx>
      <c:valAx>
        <c:axId val="65217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245967"/>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[Sales_Performance_Profitability_Dashboard.xlsx.xlsx]PivotChartTable16</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171513</xdr:colOff>
      <xdr:row>7</xdr:row>
      <xdr:rowOff>1818</xdr:rowOff>
    </xdr:from>
    <xdr:to>
      <xdr:col>8</xdr:col>
      <xdr:colOff>795638</xdr:colOff>
      <xdr:row>39</xdr:row>
      <xdr:rowOff>59551</xdr:rowOff>
    </xdr:to>
    <xdr:grpSp>
      <xdr:nvGrpSpPr>
        <xdr:cNvPr id="15" name="Group 14">
          <a:extLst>
            <a:ext uri="{FF2B5EF4-FFF2-40B4-BE49-F238E27FC236}">
              <a16:creationId xmlns:a16="http://schemas.microsoft.com/office/drawing/2014/main" id="{C613E314-A17F-AEB1-BF8D-9964B3240A9C}"/>
            </a:ext>
          </a:extLst>
        </xdr:cNvPr>
        <xdr:cNvGrpSpPr/>
      </xdr:nvGrpSpPr>
      <xdr:grpSpPr>
        <a:xfrm>
          <a:off x="429248" y="1693906"/>
          <a:ext cx="11045596" cy="5795145"/>
          <a:chOff x="364652" y="1564446"/>
          <a:chExt cx="10094341" cy="5980263"/>
        </a:xfrm>
      </xdr:grpSpPr>
      <xdr:grpSp>
        <xdr:nvGrpSpPr>
          <xdr:cNvPr id="3" name="Group 2">
            <a:extLst>
              <a:ext uri="{FF2B5EF4-FFF2-40B4-BE49-F238E27FC236}">
                <a16:creationId xmlns:a16="http://schemas.microsoft.com/office/drawing/2014/main" id="{416F772D-A3B8-4A8F-9C38-C13D16EBBA3E}"/>
              </a:ext>
            </a:extLst>
          </xdr:cNvPr>
          <xdr:cNvGrpSpPr/>
        </xdr:nvGrpSpPr>
        <xdr:grpSpPr>
          <a:xfrm>
            <a:off x="364652" y="1564446"/>
            <a:ext cx="10091130" cy="4301304"/>
            <a:chOff x="727710" y="409113"/>
            <a:chExt cx="7617031" cy="4115512"/>
          </a:xfrm>
        </xdr:grpSpPr>
        <xdr:graphicFrame macro="">
          <xdr:nvGraphicFramePr>
            <xdr:cNvPr id="4" name="Chart 3">
              <a:extLst>
                <a:ext uri="{FF2B5EF4-FFF2-40B4-BE49-F238E27FC236}">
                  <a16:creationId xmlns:a16="http://schemas.microsoft.com/office/drawing/2014/main" id="{A9DB717E-0A1C-31DD-9DF6-BC92CF593671}"/>
                </a:ext>
              </a:extLst>
            </xdr:cNvPr>
            <xdr:cNvGraphicFramePr/>
          </xdr:nvGraphicFramePr>
          <xdr:xfrm>
            <a:off x="727710" y="409113"/>
            <a:ext cx="2453225" cy="200577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5B78B1CD-6126-23BD-6744-ABEF7C2DC488}"/>
                </a:ext>
              </a:extLst>
            </xdr:cNvPr>
            <xdr:cNvGraphicFramePr/>
          </xdr:nvGraphicFramePr>
          <xdr:xfrm>
            <a:off x="3340182" y="415342"/>
            <a:ext cx="2453225" cy="200647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7E69A5BA-974F-AACA-372C-D74D8A3F357D}"/>
                </a:ext>
              </a:extLst>
            </xdr:cNvPr>
            <xdr:cNvGraphicFramePr/>
          </xdr:nvGraphicFramePr>
          <xdr:xfrm>
            <a:off x="5885807" y="417466"/>
            <a:ext cx="2453225" cy="20064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AB17E675-1130-5411-1965-1CAB1E7AB660}"/>
                </a:ext>
              </a:extLst>
            </xdr:cNvPr>
            <xdr:cNvGraphicFramePr/>
          </xdr:nvGraphicFramePr>
          <xdr:xfrm>
            <a:off x="3339553" y="2508852"/>
            <a:ext cx="2453225" cy="200577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AE0074C7-FF74-91FE-12ED-435EFF06DB00}"/>
                </a:ext>
              </a:extLst>
            </xdr:cNvPr>
            <xdr:cNvGraphicFramePr/>
          </xdr:nvGraphicFramePr>
          <xdr:xfrm>
            <a:off x="5891516" y="2518848"/>
            <a:ext cx="2453225" cy="2005777"/>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9D3A7C7-2768-D458-3DD6-ED7194C9BE39}"/>
                  </a:ext>
                </a:extLst>
              </xdr:cNvPr>
              <xdr:cNvGraphicFramePr/>
            </xdr:nvGraphicFramePr>
            <xdr:xfrm>
              <a:off x="5480955" y="6093822"/>
              <a:ext cx="1440000" cy="144000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30401" y="6161917"/>
                <a:ext cx="1576084" cy="1423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Product_Name">
                <a:extLst>
                  <a:ext uri="{FF2B5EF4-FFF2-40B4-BE49-F238E27FC236}">
                    <a16:creationId xmlns:a16="http://schemas.microsoft.com/office/drawing/2014/main" id="{9FFFBDFB-E5F1-14C2-25FB-7FBD6A176785}"/>
                  </a:ext>
                </a:extLst>
              </xdr:cNvPr>
              <xdr:cNvGraphicFramePr/>
            </xdr:nvGraphicFramePr>
            <xdr:xfrm>
              <a:off x="462644" y="6082937"/>
              <a:ext cx="1440000" cy="144000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537846" y="6151160"/>
                <a:ext cx="1576084" cy="1423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Payment_Mode">
                <a:extLst>
                  <a:ext uri="{FF2B5EF4-FFF2-40B4-BE49-F238E27FC236}">
                    <a16:creationId xmlns:a16="http://schemas.microsoft.com/office/drawing/2014/main" id="{A5506D13-DF7A-5514-9FEA-5261BB558369}"/>
                  </a:ext>
                </a:extLst>
              </xdr:cNvPr>
              <xdr:cNvGraphicFramePr/>
            </xdr:nvGraphicFramePr>
            <xdr:xfrm>
              <a:off x="2051957" y="6104709"/>
              <a:ext cx="1440000" cy="144000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277353" y="6172676"/>
                <a:ext cx="1576084" cy="1423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Customer_Name">
                <a:extLst>
                  <a:ext uri="{FF2B5EF4-FFF2-40B4-BE49-F238E27FC236}">
                    <a16:creationId xmlns:a16="http://schemas.microsoft.com/office/drawing/2014/main" id="{6600ED6E-C1B6-21E7-1B02-9DC283E1F98C}"/>
                  </a:ext>
                </a:extLst>
              </xdr:cNvPr>
              <xdr:cNvGraphicFramePr/>
            </xdr:nvGraphicFramePr>
            <xdr:xfrm>
              <a:off x="3858987" y="6082937"/>
              <a:ext cx="1440000" cy="144000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4255153" y="6151160"/>
                <a:ext cx="1576084" cy="1423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B6BADFB9-68DD-7ADF-4CC7-AAE913E31347}"/>
                  </a:ext>
                </a:extLst>
              </xdr:cNvPr>
              <xdr:cNvGraphicFramePr/>
            </xdr:nvGraphicFramePr>
            <xdr:xfrm>
              <a:off x="7121433" y="6073141"/>
              <a:ext cx="3337560" cy="144000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825909" y="6141479"/>
                <a:ext cx="3652969" cy="14230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twoCellAnchor>
    <xdr:from>
      <xdr:col>1</xdr:col>
      <xdr:colOff>172064</xdr:colOff>
      <xdr:row>18</xdr:row>
      <xdr:rowOff>159775</xdr:rowOff>
    </xdr:from>
    <xdr:to>
      <xdr:col>3</xdr:col>
      <xdr:colOff>706955</xdr:colOff>
      <xdr:row>30</xdr:row>
      <xdr:rowOff>35516</xdr:rowOff>
    </xdr:to>
    <xdr:graphicFrame macro="">
      <xdr:nvGraphicFramePr>
        <xdr:cNvPr id="16" name="Chart 15">
          <a:extLst>
            <a:ext uri="{FF2B5EF4-FFF2-40B4-BE49-F238E27FC236}">
              <a16:creationId xmlns:a16="http://schemas.microsoft.com/office/drawing/2014/main" id="{CC983551-818A-44CF-95B3-92C246D5A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322041</xdr:colOff>
      <xdr:row>9</xdr:row>
      <xdr:rowOff>122748</xdr:rowOff>
    </xdr:from>
    <xdr:ext cx="6084793" cy="4074459"/>
    <xdr:sp macro="" textlink="">
      <xdr:nvSpPr>
        <xdr:cNvPr id="17" name="TextBox 16">
          <a:extLst>
            <a:ext uri="{FF2B5EF4-FFF2-40B4-BE49-F238E27FC236}">
              <a16:creationId xmlns:a16="http://schemas.microsoft.com/office/drawing/2014/main" id="{FB3FF6F4-1246-A512-05DF-80FF69F4B9AD}"/>
            </a:ext>
          </a:extLst>
        </xdr:cNvPr>
        <xdr:cNvSpPr txBox="1"/>
      </xdr:nvSpPr>
      <xdr:spPr>
        <a:xfrm>
          <a:off x="12924349" y="2174286"/>
          <a:ext cx="6084793" cy="407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baseline="0">
              <a:solidFill>
                <a:schemeClr val="tx1"/>
              </a:solidFill>
            </a:rPr>
            <a:t>	</a:t>
          </a:r>
          <a:r>
            <a:rPr lang="en-IN" sz="2400" b="1">
              <a:solidFill>
                <a:schemeClr val="accent1">
                  <a:lumMod val="50000"/>
                </a:schemeClr>
              </a:solidFill>
            </a:rPr>
            <a:t>BUSINESS INSIGHTS </a:t>
          </a:r>
        </a:p>
        <a:p>
          <a:endParaRPr lang="en-IN" sz="2400" b="1">
            <a:solidFill>
              <a:schemeClr val="accent1">
                <a:lumMod val="50000"/>
              </a:schemeClr>
            </a:solidFill>
          </a:endParaRPr>
        </a:p>
        <a:p>
          <a:r>
            <a:rPr lang="en-IN" sz="1800" b="1"/>
            <a:t>1. South region generated the highest sales.</a:t>
          </a:r>
          <a:br>
            <a:rPr lang="en-IN" sz="1800" b="1"/>
          </a:br>
          <a:r>
            <a:rPr lang="en-IN" sz="1800" b="1"/>
            <a:t>2. Computers generated the highest category sales.</a:t>
          </a:r>
          <a:br>
            <a:rPr lang="en-IN" sz="1800" b="1"/>
          </a:br>
          <a:r>
            <a:rPr lang="en-IN" sz="1800" b="1"/>
            <a:t>3. Mobile generated the highest category profit.</a:t>
          </a:r>
          <a:br>
            <a:rPr lang="en-IN" sz="1800" b="1"/>
          </a:br>
          <a:r>
            <a:rPr lang="en-IN" sz="1800" b="1"/>
            <a:t>4. UPI generated the highest payment-mode sales.</a:t>
          </a:r>
          <a:br>
            <a:rPr lang="en-IN" sz="1800" b="1"/>
          </a:br>
          <a:r>
            <a:rPr lang="en-IN" sz="1800" b="1"/>
            <a:t>5. Laptop 15 was the top product.</a:t>
          </a:r>
          <a:endParaRPr lang="en-IN" sz="1100"/>
        </a:p>
        <a:p>
          <a:endParaRPr lang="en-IN" sz="1100"/>
        </a:p>
        <a:p>
          <a:endParaRPr lang="en-IN" sz="1100"/>
        </a:p>
      </xdr:txBody>
    </xdr:sp>
    <xdr:clientData/>
  </xdr:oneCellAnchor>
  <xdr:twoCellAnchor>
    <xdr:from>
      <xdr:col>8</xdr:col>
      <xdr:colOff>1678617</xdr:colOff>
      <xdr:row>11</xdr:row>
      <xdr:rowOff>1987</xdr:rowOff>
    </xdr:from>
    <xdr:to>
      <xdr:col>8</xdr:col>
      <xdr:colOff>1678617</xdr:colOff>
      <xdr:row>25</xdr:row>
      <xdr:rowOff>37157</xdr:rowOff>
    </xdr:to>
    <xdr:cxnSp macro="">
      <xdr:nvCxnSpPr>
        <xdr:cNvPr id="19" name="Straight Connector 18">
          <a:extLst>
            <a:ext uri="{FF2B5EF4-FFF2-40B4-BE49-F238E27FC236}">
              <a16:creationId xmlns:a16="http://schemas.microsoft.com/office/drawing/2014/main" id="{A6A27358-DF29-D081-7AF2-B3B24D447F0C}"/>
            </a:ext>
          </a:extLst>
        </xdr:cNvPr>
        <xdr:cNvCxnSpPr/>
      </xdr:nvCxnSpPr>
      <xdr:spPr>
        <a:xfrm flipH="1">
          <a:off x="12357823" y="2411252"/>
          <a:ext cx="0" cy="2545287"/>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1324707</xdr:colOff>
      <xdr:row>31</xdr:row>
      <xdr:rowOff>175846</xdr:rowOff>
    </xdr:from>
    <xdr:ext cx="184731" cy="264560"/>
    <xdr:sp macro="" textlink="">
      <xdr:nvSpPr>
        <xdr:cNvPr id="25" name="TextBox 24">
          <a:extLst>
            <a:ext uri="{FF2B5EF4-FFF2-40B4-BE49-F238E27FC236}">
              <a16:creationId xmlns:a16="http://schemas.microsoft.com/office/drawing/2014/main" id="{AB37A949-E2BD-7030-ADC0-0114D64E7BE9}"/>
            </a:ext>
          </a:extLst>
        </xdr:cNvPr>
        <xdr:cNvSpPr txBox="1"/>
      </xdr:nvSpPr>
      <xdr:spPr>
        <a:xfrm>
          <a:off x="13927015" y="63539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ALMAN" refreshedDate="46238.591085300926" createdVersion="5" refreshedVersion="8" minRefreshableVersion="3" recordCount="0" supportSubquery="1" supportAdvancedDrill="1" xr:uid="{FF7C9156-FD7B-47F9-B689-0D41596D3841}">
  <cacheSource type="external" connectionId="8"/>
  <cacheFields count="9">
    <cacheField name="[Measures].[Total Sales]" caption="Total Sales" numFmtId="0" hierarchy="21" level="32767"/>
    <cacheField name="[Measures].[Total Profit]" caption="Total Profit" numFmtId="0" hierarchy="22" level="32767"/>
    <cacheField name="[Measures].[Total Orders]" caption="Total Orders" numFmtId="0" hierarchy="23" level="32767"/>
    <cacheField name="[Measures].[Total Customers]" caption="Total Customers" numFmtId="0" hierarchy="24" level="32767"/>
    <cacheField name="[Measures].[Average Order Value]" caption="Average Order Value" numFmtId="0" hierarchy="25" level="32767"/>
    <cacheField name="[Measures].[Profit Margin %]" caption="Profit Margin %" numFmtId="0" hierarchy="26" level="32767"/>
    <cacheField name="[Measures].[Top Product]" caption="Top Product" numFmtId="0" hierarchy="27" level="32767"/>
    <cacheField name="[Measures].[Top Region]" caption="Top Region" numFmtId="0" hierarchy="28" level="32767"/>
    <cacheField name="[Customers].[Region].[Region]" caption="Region" numFmtId="0" hierarchy="3"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8"/>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20" unbalanced="0"/>
    <cacheHierarchy uniqueName="[Sales].[Cost_Amount]" caption="Cost_Amount" attribute="1" defaultMemberUniqueName="[Sales].[Cost_Amount].[All]" allUniqueName="[Sales].[Cost_Am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ayment_Mode]" caption="Payment_Mode" attribute="1" defaultMemberUniqueName="[Sales].[Payment_Mode].[All]" allUniqueName="[Sales].[Payment_Mode].[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Profit]" caption="Total Profit" measure="1" displayFolder="" measureGroup="Sales" count="0" oneField="1">
      <fieldsUsage count="1">
        <fieldUsage x="1"/>
      </fieldsUsage>
    </cacheHierarchy>
    <cacheHierarchy uniqueName="[Measures].[Total Orders]" caption="Total Orders" measure="1" displayFolder="" measureGroup="Sales" count="0" oneField="1">
      <fieldsUsage count="1">
        <fieldUsage x="2"/>
      </fieldsUsage>
    </cacheHierarchy>
    <cacheHierarchy uniqueName="[Measures].[Total Customers]" caption="Total Customers" measure="1" displayFolder="" measureGroup="Sales" count="0" oneField="1">
      <fieldsUsage count="1">
        <fieldUsage x="3"/>
      </fieldsUsage>
    </cacheHierarchy>
    <cacheHierarchy uniqueName="[Measures].[Average Order Value]" caption="Average Order Value" measure="1" displayFolder="" measureGroup="Sales" count="0" oneField="1">
      <fieldsUsage count="1">
        <fieldUsage x="4"/>
      </fieldsUsage>
    </cacheHierarchy>
    <cacheHierarchy uniqueName="[Measures].[Profit Margin %]" caption="Profit Margin %" measure="1" displayFolder="" measureGroup="Sales" count="0" oneField="1">
      <fieldsUsage count="1">
        <fieldUsage x="5"/>
      </fieldsUsage>
    </cacheHierarchy>
    <cacheHierarchy uniqueName="[Measures].[Top Product]" caption="Top Product" measure="1" displayFolder="" measureGroup="Sales" count="0" oneField="1">
      <fieldsUsage count="1">
        <fieldUsage x="6"/>
      </fieldsUsage>
    </cacheHierarchy>
    <cacheHierarchy uniqueName="[Measures].[Top Region]" caption="Top Region" measure="1" displayFolder="" measureGroup="Sales" count="0" oneField="1">
      <fieldsUsage count="1">
        <fieldUsage x="7"/>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38.577190277778" createdVersion="3" refreshedVersion="8" minRefreshableVersion="3" recordCount="0" supportSubquery="1" supportAdvancedDrill="1" xr:uid="{2A33E91F-0AA4-49AB-AD87-113250322A0A}">
  <cacheSource type="external" connectionId="8">
    <extLst>
      <ext xmlns:x14="http://schemas.microsoft.com/office/spreadsheetml/2009/9/main" uri="{F057638F-6D5F-4e77-A914-E7F072B9BCA8}">
        <x14:sourceConnection name="ThisWorkbookDataModel"/>
      </ext>
    </extLst>
  </cacheSource>
  <cacheFields count="0"/>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20" unbalanced="0"/>
    <cacheHierarchy uniqueName="[Sales].[Cost_Amount]" caption="Cost_Amount" attribute="1" defaultMemberUniqueName="[Sales].[Cost_Amount].[All]" allUniqueName="[Sales].[Cost_Am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ayment_Mode]" caption="Payment_Mode" attribute="1" defaultMemberUniqueName="[Sales].[Payment_Mode].[All]" allUniqueName="[Sales].[Payment_Mode].[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Total Sales]" caption="Total Sales" measure="1" displayFolder="" measureGroup="Sales" count="0"/>
    <cacheHierarchy uniqueName="[Measures].[Total Profit]" caption="Total Profit" measure="1" displayFolder="" measureGroup="Sales" count="0"/>
    <cacheHierarchy uniqueName="[Measures].[Total Orders]" caption="Total Orders" measure="1" displayFolder="" measureGroup="Sales" count="0"/>
    <cacheHierarchy uniqueName="[Measures].[Total Customers]" caption="Total Customers" measure="1" displayFolder="" measureGroup="Sales" count="0"/>
    <cacheHierarchy uniqueName="[Measures].[Average Order Value]" caption="Average Order Value" measure="1" displayFolder="" measureGroup="Sales" count="0"/>
    <cacheHierarchy uniqueName="[Measures].[Profit Margin %]" caption="Profit Margin %" measure="1" displayFolder="" measureGroup="Sales" count="0"/>
    <cacheHierarchy uniqueName="[Measures].[Top Product]" caption="Top Product" measure="1" displayFolder="" measureGroup="Sales" count="0"/>
    <cacheHierarchy uniqueName="[Measures].[Top Region]" caption="Top Reg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069020197"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ALMAN" refreshedDate="46238.591083333333" createdVersion="5" refreshedVersion="8" minRefreshableVersion="3" recordCount="0" supportSubquery="1" supportAdvancedDrill="1" xr:uid="{8365A820-E02C-424F-A2E2-C9C3138A316B}">
  <cacheSource type="external" connectionId="8">
    <extLst>
      <ext xmlns:x14="http://schemas.microsoft.com/office/spreadsheetml/2009/9/main" uri="{F057638F-6D5F-4e77-A914-E7F072B9BCA8}">
        <x14:sourceConnection name="ThisWorkbookDataModel"/>
      </ext>
    </extLst>
  </cacheSource>
  <cacheFields count="2">
    <cacheField name="[Customers].[Region].[Region]" caption="Region" numFmtId="0" hierarchy="3" level="1">
      <sharedItems count="2">
        <s v="South"/>
        <s v="West"/>
      </sharedItems>
      <extLst>
        <ext xmlns:x15="http://schemas.microsoft.com/office/spreadsheetml/2010/11/main" uri="{4F2E5C28-24EA-4eb8-9CBF-B6C8F9C3D259}">
          <x15:cachedUniqueNames>
            <x15:cachedUniqueName index="0" name="[Customers].[Region].&amp;[South]"/>
            <x15:cachedUniqueName index="1" name="[Customers].[Region].&amp;[West]"/>
          </x15:cachedUniqueNames>
        </ext>
      </extLst>
    </cacheField>
    <cacheField name="[Measures].[Total Sales]" caption="Total Sales" numFmtId="0" hierarchy="21" level="32767"/>
  </cacheFields>
  <cacheHierarchies count="3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2" memberValueDatatype="20" unbalanced="0"/>
    <cacheHierarchy uniqueName="[Products].[Unit_Cost]" caption="Unit_Cost" attribute="1" defaultMemberUniqueName="[Products].[Unit_Cost].[All]" allUniqueName="[Products].[Unit_Cost].[All]" dimensionUniqueName="[Products]" displayFolder="" count="2" memberValueDatatype="20" unbalanced="0"/>
    <cacheHierarchy uniqueName="[Sales].[Order_ID]" caption="Order_ID" attribute="1" defaultMemberUniqueName="[Sales].[Order_ID].[All]" allUniqueName="[Sales].[Order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Sales_Amount]" caption="Sales_Amount" attribute="1" defaultMemberUniqueName="[Sales].[Sales_Amount].[All]" allUniqueName="[Sales].[Sales_Amount].[All]" dimensionUniqueName="[Sales]" displayFolder="" count="2" memberValueDatatype="20" unbalanced="0"/>
    <cacheHierarchy uniqueName="[Sales].[Cost_Amount]" caption="Cost_Amount" attribute="1" defaultMemberUniqueName="[Sales].[Cost_Amount].[All]" allUniqueName="[Sales].[Cost_Amount].[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Payment_Mode]" caption="Payment_Mode" attribute="1" defaultMemberUniqueName="[Sales].[Payment_Mode].[All]" allUniqueName="[Sales].[Payment_Mode].[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Total Sales]" caption="Total Sales" measure="1" displayFolder="" measureGroup="Sales" count="0" oneField="1">
      <fieldsUsage count="1">
        <fieldUsage x="1"/>
      </fieldsUsage>
    </cacheHierarchy>
    <cacheHierarchy uniqueName="[Measures].[Total Profit]" caption="Total Profit" measure="1" displayFolder="" measureGroup="Sales" count="0"/>
    <cacheHierarchy uniqueName="[Measures].[Total Orders]" caption="Total Orders" measure="1" displayFolder="" measureGroup="Sales" count="0"/>
    <cacheHierarchy uniqueName="[Measures].[Total Customers]" caption="Total Customers" measure="1" displayFolder="" measureGroup="Sales" count="0"/>
    <cacheHierarchy uniqueName="[Measures].[Average Order Value]" caption="Average Order Value" measure="1" displayFolder="" measureGroup="Sales" count="0"/>
    <cacheHierarchy uniqueName="[Measures].[Profit Margin %]" caption="Profit Margin %" measure="1" displayFolder="" measureGroup="Sales" count="0"/>
    <cacheHierarchy uniqueName="[Measures].[Top Product]" caption="Top Product" measure="1" displayFolder="" measureGroup="Sales" count="0"/>
    <cacheHierarchy uniqueName="[Measures].[Top Region]" caption="Top Reg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0077639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ALMAN" refreshedDate="46238.591084259257" createdVersion="5" refreshedVersion="8" minRefreshableVersion="3" recordCount="0" supportSubquery="1" supportAdvancedDrill="1" xr:uid="{31ADC425-5620-4056-9E90-4A7970707CED}">
  <cacheSource type="external" connectionId="8">
    <extLst>
      <ext xmlns:x14="http://schemas.microsoft.com/office/spreadsheetml/2009/9/main" uri="{F057638F-6D5F-4e77-A914-E7F072B9BCA8}">
        <x14:sourceConnection name="ThisWorkbookDataModel"/>
      </ext>
    </extLst>
  </cacheSource>
  <cacheFields count="3">
    <cacheField name="[Products].[Category].[Category]" caption="Category" numFmtId="0" hierarchy="6" level="1">
      <sharedItems count="7">
        <s v="Accessories"/>
        <s v="Computers"/>
        <s v="Furniture"/>
        <s v="Mobile"/>
        <s v="Networking"/>
        <s v="Printers"/>
        <s v="Storage"/>
      </sharedItems>
      <extLst>
        <ext xmlns:x15="http://schemas.microsoft.com/office/spreadsheetml/2010/11/main" uri="{4F2E5C28-24EA-4eb8-9CBF-B6C8F9C3D259}">
          <x15:cachedUniqueNames>
            <x15:cachedUniqueName index="0" name="[Products].[Category].&amp;[Accessories]"/>
            <x15:cachedUniqueName index="1" name="[Products].[Category].&amp;[Computers]"/>
            <x15:cachedUniqueName index="2" name="[Products].[Category].&amp;[Furniture]"/>
            <x15:cachedUniqueName index="3" name="[Products].[Category].&amp;[Mobile]"/>
            <x15:cachedUniqueName index="4" name="[Products].[Category].&amp;[Networking]"/>
            <x15:cachedUniqueName index="5" name="[Products].[Category].&amp;[Printers]"/>
            <x15:cachedUniqueName index="6" name="[Products].[Category].&amp;[Storage]"/>
          </x15:cachedUniqueNames>
        </ext>
      </extLst>
    </cacheField>
    <cacheField name="[Measures].[Total Sales]" caption="Total Sales" numFmtId="0" hierarchy="21" level="32767"/>
    <cacheField name="[Customers].[Region].[Region]" caption="Region" numFmtId="0" hierarchy="3"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Unit_Price]" caption="Unit_Price" attribute="1" defaultMemberUniqueName="[Products].[Unit_Price].[All]" allUniqueName="[Products].[Unit_Price].[All]" dimensionUniqueName="[Products]" displayFolder="" count="2" memberValueDatatype="20" unbalanced="0"/>
    <cacheHierarchy uniqueName="[Products].[Unit_Cost]" caption="Unit_Cost" attribute="1" defaultMemberUniqueName="[Products].[Unit_Cost].[All]" allUniqueName="[Products].[Unit_Cost].[All]" dimensionUniqueName="[Products]" displayFolder="" count="2" memberValueDatatype="20" unbalanced="0"/>
    <cacheHierarchy uniqueName="[Sales].[Order_ID]" caption="Order_ID" attribute="1" defaultMemberUniqueName="[Sales].[Order_ID].[All]" allUniqueName="[Sales].[Order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Sales_Amount]" caption="Sales_Amount" attribute="1" defaultMemberUniqueName="[Sales].[Sales_Amount].[All]" allUniqueName="[Sales].[Sales_Amount].[All]" dimensionUniqueName="[Sales]" displayFolder="" count="2" memberValueDatatype="20" unbalanced="0"/>
    <cacheHierarchy uniqueName="[Sales].[Cost_Amount]" caption="Cost_Amount" attribute="1" defaultMemberUniqueName="[Sales].[Cost_Amount].[All]" allUniqueName="[Sales].[Cost_Amount].[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Payment_Mode]" caption="Payment_Mode" attribute="1" defaultMemberUniqueName="[Sales].[Payment_Mode].[All]" allUniqueName="[Sales].[Payment_Mode].[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Total Sales]" caption="Total Sales" measure="1" displayFolder="" measureGroup="Sales" count="0" oneField="1">
      <fieldsUsage count="1">
        <fieldUsage x="1"/>
      </fieldsUsage>
    </cacheHierarchy>
    <cacheHierarchy uniqueName="[Measures].[Total Profit]" caption="Total Profit" measure="1" displayFolder="" measureGroup="Sales" count="0"/>
    <cacheHierarchy uniqueName="[Measures].[Total Orders]" caption="Total Orders" measure="1" displayFolder="" measureGroup="Sales" count="0"/>
    <cacheHierarchy uniqueName="[Measures].[Total Customers]" caption="Total Customers" measure="1" displayFolder="" measureGroup="Sales" count="0"/>
    <cacheHierarchy uniqueName="[Measures].[Average Order Value]" caption="Average Order Value" measure="1" displayFolder="" measureGroup="Sales" count="0"/>
    <cacheHierarchy uniqueName="[Measures].[Profit Margin %]" caption="Profit Margin %" measure="1" displayFolder="" measureGroup="Sales" count="0"/>
    <cacheHierarchy uniqueName="[Measures].[Top Product]" caption="Top Product" measure="1" displayFolder="" measureGroup="Sales" count="0"/>
    <cacheHierarchy uniqueName="[Measures].[Top Region]" caption="Top Reg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3394639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ALMAN" refreshedDate="46238.59108460648" createdVersion="5" refreshedVersion="8" minRefreshableVersion="3" recordCount="0" supportSubquery="1" supportAdvancedDrill="1" xr:uid="{11003BDB-77A6-472F-A619-62DC57D2AA6C}">
  <cacheSource type="external" connectionId="8">
    <extLst>
      <ext xmlns:x14="http://schemas.microsoft.com/office/spreadsheetml/2009/9/main" uri="{F057638F-6D5F-4e77-A914-E7F072B9BCA8}">
        <x14:sourceConnection name="ThisWorkbookDataModel"/>
      </ext>
    </extLst>
  </cacheSource>
  <cacheFields count="3">
    <cacheField name="[Products].[Category].[Category]" caption="Category" numFmtId="0" hierarchy="6" level="1">
      <sharedItems count="7">
        <s v="Accessories"/>
        <s v="Computers"/>
        <s v="Furniture"/>
        <s v="Mobile"/>
        <s v="Networking"/>
        <s v="Printers"/>
        <s v="Storage"/>
      </sharedItems>
      <extLst>
        <ext xmlns:x15="http://schemas.microsoft.com/office/spreadsheetml/2010/11/main" uri="{4F2E5C28-24EA-4eb8-9CBF-B6C8F9C3D259}">
          <x15:cachedUniqueNames>
            <x15:cachedUniqueName index="0" name="[Products].[Category].&amp;[Accessories]"/>
            <x15:cachedUniqueName index="1" name="[Products].[Category].&amp;[Computers]"/>
            <x15:cachedUniqueName index="2" name="[Products].[Category].&amp;[Furniture]"/>
            <x15:cachedUniqueName index="3" name="[Products].[Category].&amp;[Mobile]"/>
            <x15:cachedUniqueName index="4" name="[Products].[Category].&amp;[Networking]"/>
            <x15:cachedUniqueName index="5" name="[Products].[Category].&amp;[Printers]"/>
            <x15:cachedUniqueName index="6" name="[Products].[Category].&amp;[Storage]"/>
          </x15:cachedUniqueNames>
        </ext>
      </extLst>
    </cacheField>
    <cacheField name="[Measures].[Total Profit]" caption="Total Profit" numFmtId="0" hierarchy="22" level="32767"/>
    <cacheField name="[Customers].[Region].[Region]" caption="Region" numFmtId="0" hierarchy="3"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20" unbalanced="0"/>
    <cacheHierarchy uniqueName="[Sales].[Cost_Amount]" caption="Cost_Amount" attribute="1" defaultMemberUniqueName="[Sales].[Cost_Amount].[All]" allUniqueName="[Sales].[Cost_Am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ayment_Mode]" caption="Payment_Mode" attribute="1" defaultMemberUniqueName="[Sales].[Payment_Mode].[All]" allUniqueName="[Sales].[Payment_Mode].[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Total Sales]" caption="Total Sales" measure="1" displayFolder="" measureGroup="Sales" count="0"/>
    <cacheHierarchy uniqueName="[Measures].[Total Profit]" caption="Total Profit" measure="1" displayFolder="" measureGroup="Sales" count="0" oneField="1">
      <fieldsUsage count="1">
        <fieldUsage x="1"/>
      </fieldsUsage>
    </cacheHierarchy>
    <cacheHierarchy uniqueName="[Measures].[Total Orders]" caption="Total Orders" measure="1" displayFolder="" measureGroup="Sales" count="0"/>
    <cacheHierarchy uniqueName="[Measures].[Total Customers]" caption="Total Customers" measure="1" displayFolder="" measureGroup="Sales" count="0"/>
    <cacheHierarchy uniqueName="[Measures].[Average Order Value]" caption="Average Order Value" measure="1" displayFolder="" measureGroup="Sales" count="0"/>
    <cacheHierarchy uniqueName="[Measures].[Profit Margin %]" caption="Profit Margin %" measure="1" displayFolder="" measureGroup="Sales" count="0"/>
    <cacheHierarchy uniqueName="[Measures].[Top Product]" caption="Top Product" measure="1" displayFolder="" measureGroup="Sales" count="0"/>
    <cacheHierarchy uniqueName="[Measures].[Top Region]" caption="Top Reg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8628865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ALMAN" refreshedDate="46238.591084953703" createdVersion="5" refreshedVersion="8" minRefreshableVersion="3" recordCount="0" supportSubquery="1" supportAdvancedDrill="1" xr:uid="{932513AF-CE9B-4B15-9BDC-D5CC22F25C5A}">
  <cacheSource type="external" connectionId="8">
    <extLst>
      <ext xmlns:x14="http://schemas.microsoft.com/office/spreadsheetml/2009/9/main" uri="{F057638F-6D5F-4e77-A914-E7F072B9BCA8}">
        <x14:sourceConnection name="ThisWorkbookDataModel"/>
      </ext>
    </extLst>
  </cacheSource>
  <cacheFields count="3">
    <cacheField name="[Sales].[Payment_Mode].[Payment_Mode]" caption="Payment_Mode" numFmtId="0" hierarchy="18" level="1">
      <sharedItems count="4">
        <s v="Bank Transfer"/>
        <s v="Card"/>
        <s v="Cash"/>
        <s v="UPI"/>
      </sharedItems>
      <extLst>
        <ext xmlns:x15="http://schemas.microsoft.com/office/spreadsheetml/2010/11/main" uri="{4F2E5C28-24EA-4eb8-9CBF-B6C8F9C3D259}">
          <x15:cachedUniqueNames>
            <x15:cachedUniqueName index="0" name="[Sales].[Payment_Mode].&amp;[Bank Transfer]"/>
            <x15:cachedUniqueName index="1" name="[Sales].[Payment_Mode].&amp;[Card]"/>
            <x15:cachedUniqueName index="2" name="[Sales].[Payment_Mode].&amp;[Cash]"/>
            <x15:cachedUniqueName index="3" name="[Sales].[Payment_Mode].&amp;[UPI]"/>
          </x15:cachedUniqueNames>
        </ext>
      </extLst>
    </cacheField>
    <cacheField name="[Measures].[Total Sales]" caption="Total Sales" numFmtId="0" hierarchy="21" level="32767"/>
    <cacheField name="[Customers].[Region].[Region]" caption="Region" numFmtId="0" hierarchy="3"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2" memberValueDatatype="20" unbalanced="0"/>
    <cacheHierarchy uniqueName="[Products].[Unit_Cost]" caption="Unit_Cost" attribute="1" defaultMemberUniqueName="[Products].[Unit_Cost].[All]" allUniqueName="[Products].[Unit_Cost].[All]" dimensionUniqueName="[Products]" displayFolder="" count="2" memberValueDatatype="20" unbalanced="0"/>
    <cacheHierarchy uniqueName="[Sales].[Order_ID]" caption="Order_ID" attribute="1" defaultMemberUniqueName="[Sales].[Order_ID].[All]" allUniqueName="[Sales].[Order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Sales_Amount]" caption="Sales_Amount" attribute="1" defaultMemberUniqueName="[Sales].[Sales_Amount].[All]" allUniqueName="[Sales].[Sales_Amount].[All]" dimensionUniqueName="[Sales]" displayFolder="" count="2" memberValueDatatype="20" unbalanced="0"/>
    <cacheHierarchy uniqueName="[Sales].[Cost_Amount]" caption="Cost_Amount" attribute="1" defaultMemberUniqueName="[Sales].[Cost_Amount].[All]" allUniqueName="[Sales].[Cost_Amount].[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Order_Date (Month)]" caption="Order_Date (Month)" attribute="1" defaultMemberUniqueName="[Sales].[Order_Date (Month)].[All]" allUniqueName="[Sales].[Order_Date (Month)].[All]" dimensionUniqueName="[Sales]" displayFolder="" count="2" memberValueDatatype="130"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Total Sales]" caption="Total Sales" measure="1" displayFolder="" measureGroup="Sales" count="0" oneField="1">
      <fieldsUsage count="1">
        <fieldUsage x="1"/>
      </fieldsUsage>
    </cacheHierarchy>
    <cacheHierarchy uniqueName="[Measures].[Total Profit]" caption="Total Profit" measure="1" displayFolder="" measureGroup="Sales" count="0"/>
    <cacheHierarchy uniqueName="[Measures].[Total Orders]" caption="Total Orders" measure="1" displayFolder="" measureGroup="Sales" count="0"/>
    <cacheHierarchy uniqueName="[Measures].[Total Customers]" caption="Total Customers" measure="1" displayFolder="" measureGroup="Sales" count="0"/>
    <cacheHierarchy uniqueName="[Measures].[Average Order Value]" caption="Average Order Value" measure="1" displayFolder="" measureGroup="Sales" count="0"/>
    <cacheHierarchy uniqueName="[Measures].[Profit Margin %]" caption="Profit Margin %" measure="1" displayFolder="" measureGroup="Sales" count="0"/>
    <cacheHierarchy uniqueName="[Measures].[Top Product]" caption="Top Product" measure="1" displayFolder="" measureGroup="Sales" count="0"/>
    <cacheHierarchy uniqueName="[Measures].[Top Region]" caption="Top Reg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6094971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38.703380208332" createdVersion="5" refreshedVersion="8" minRefreshableVersion="3" recordCount="0" supportSubquery="1" supportAdvancedDrill="1" xr:uid="{EC4F2E8B-CADA-4BB5-A3EC-0973413DADA3}">
  <cacheSource type="external" connectionId="8">
    <extLst>
      <ext xmlns:x14="http://schemas.microsoft.com/office/spreadsheetml/2009/9/main" uri="{F057638F-6D5F-4e77-A914-E7F072B9BCA8}">
        <x14:sourceConnection name="ThisWorkbookDataModel"/>
      </ext>
    </extLst>
  </cacheSource>
  <cacheFields count="3">
    <cacheField name="[Sales].[Order_Date].[Order_Date]" caption="Order_Date" numFmtId="0" hierarchy="10" level="1">
      <sharedItems containsSemiMixedTypes="0" containsNonDate="0" containsString="0"/>
    </cacheField>
    <cacheField name="[Sales].[Order_Date (Month)].[Order_Date (Month)]" caption="Order_Date (Month)" numFmtId="0" hierarchy="19" level="1">
      <sharedItems count="3">
        <s v="Jan"/>
        <s v="Feb"/>
        <s v="Mar"/>
      </sharedItems>
      <extLst>
        <ext xmlns:x15="http://schemas.microsoft.com/office/spreadsheetml/2010/11/main" uri="{4F2E5C28-24EA-4eb8-9CBF-B6C8F9C3D259}">
          <x15:cachedUniqueNames>
            <x15:cachedUniqueName index="0" name="[Sales].[Order_Date (Month)].&amp;[Jan]"/>
            <x15:cachedUniqueName index="1" name="[Sales].[Order_Date (Month)].&amp;[Feb]"/>
            <x15:cachedUniqueName index="2" name="[Sales].[Order_Date (Month)].&amp;[Mar]"/>
          </x15:cachedUniqueNames>
        </ext>
      </extLst>
    </cacheField>
    <cacheField name="[Measures].[Total Sales]" caption="Total Sales" numFmtId="0" hierarchy="21" level="32767"/>
  </cacheFields>
  <cacheHierarchies count="3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2" memberValueDatatype="20" unbalanced="0"/>
    <cacheHierarchy uniqueName="[Products].[Unit_Cost]" caption="Unit_Cost" attribute="1" defaultMemberUniqueName="[Products].[Unit_Cost].[All]" allUniqueName="[Products].[Unit_Cost].[All]" dimensionUniqueName="[Products]" displayFolder="" count="2" memberValueDatatype="20" unbalanced="0"/>
    <cacheHierarchy uniqueName="[Sales].[Order_ID]" caption="Order_ID" attribute="1" defaultMemberUniqueName="[Sales].[Order_ID].[All]" allUniqueName="[Sales].[Order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fieldsUsage count="2">
        <fieldUsage x="-1"/>
        <fieldUsage x="0"/>
      </fieldsUsage>
    </cacheHierarchy>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Sales_Amount]" caption="Sales_Amount" attribute="1" defaultMemberUniqueName="[Sales].[Sales_Amount].[All]" allUniqueName="[Sales].[Sales_Amount].[All]" dimensionUniqueName="[Sales]" displayFolder="" count="2" memberValueDatatype="20" unbalanced="0"/>
    <cacheHierarchy uniqueName="[Sales].[Cost_Amount]" caption="Cost_Amount" attribute="1" defaultMemberUniqueName="[Sales].[Cost_Amount].[All]" allUniqueName="[Sales].[Cost_Amount].[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Payment_Mode]" caption="Payment_Mode" attribute="1" defaultMemberUniqueName="[Sales].[Payment_Mode].[All]" allUniqueName="[Sales].[Payment_Mode].[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1"/>
      </fieldsUsage>
    </cacheHierarchy>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Total Sales]" caption="Total Sales" measure="1" displayFolder="" measureGroup="Sales" count="0" oneField="1">
      <fieldsUsage count="1">
        <fieldUsage x="2"/>
      </fieldsUsage>
    </cacheHierarchy>
    <cacheHierarchy uniqueName="[Measures].[Total Profit]" caption="Total Profit" measure="1" displayFolder="" measureGroup="Sales" count="0"/>
    <cacheHierarchy uniqueName="[Measures].[Total Orders]" caption="Total Orders" measure="1" displayFolder="" measureGroup="Sales" count="0"/>
    <cacheHierarchy uniqueName="[Measures].[Total Customers]" caption="Total Customers" measure="1" displayFolder="" measureGroup="Sales" count="0"/>
    <cacheHierarchy uniqueName="[Measures].[Average Order Value]" caption="Average Order Value" measure="1" displayFolder="" measureGroup="Sales" count="0"/>
    <cacheHierarchy uniqueName="[Measures].[Profit Margin %]" caption="Profit Margin %" measure="1" displayFolder="" measureGroup="Sales" count="0"/>
    <cacheHierarchy uniqueName="[Measures].[Top Product]" caption="Top Product" measure="1" displayFolder="" measureGroup="Sales" count="0"/>
    <cacheHierarchy uniqueName="[Measures].[Top Region]" caption="Top Reg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9944213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38.708277199075" createdVersion="5" refreshedVersion="8" minRefreshableVersion="3" recordCount="0" supportSubquery="1" supportAdvancedDrill="1" xr:uid="{BA10A711-EAF5-4B3B-9698-2E940036CBA5}">
  <cacheSource type="external" connectionId="8">
    <extLst>
      <ext xmlns:x14="http://schemas.microsoft.com/office/spreadsheetml/2009/9/main" uri="{F057638F-6D5F-4e77-A914-E7F072B9BCA8}">
        <x14:sourceConnection name="ThisWorkbookDataModel"/>
      </ext>
    </extLst>
  </cacheSource>
  <cacheFields count="2">
    <cacheField name="[Products].[Product_Name].[Product_Name]" caption="Product_Name" numFmtId="0" hierarchy="5" level="1">
      <sharedItems count="10">
        <s v="Desk"/>
        <s v="External SSD"/>
        <s v="Headset"/>
        <s v="Keyboard"/>
        <s v="Laptop 15"/>
        <s v="Monitor 24"/>
        <s v="Mouse"/>
        <s v="Office Chair"/>
        <s v="Power Bank"/>
        <s v="Printer"/>
      </sharedItems>
      <extLst>
        <ext xmlns:x15="http://schemas.microsoft.com/office/spreadsheetml/2010/11/main" uri="{4F2E5C28-24EA-4eb8-9CBF-B6C8F9C3D259}">
          <x15:cachedUniqueNames>
            <x15:cachedUniqueName index="0" name="[Products].[Product_Name].&amp;[Desk]"/>
            <x15:cachedUniqueName index="1" name="[Products].[Product_Name].&amp;[External SSD]"/>
            <x15:cachedUniqueName index="2" name="[Products].[Product_Name].&amp;[Headset]"/>
            <x15:cachedUniqueName index="3" name="[Products].[Product_Name].&amp;[Keyboard]"/>
            <x15:cachedUniqueName index="4" name="[Products].[Product_Name].&amp;[Laptop 15]"/>
            <x15:cachedUniqueName index="5" name="[Products].[Product_Name].&amp;[Monitor 24]"/>
            <x15:cachedUniqueName index="6" name="[Products].[Product_Name].&amp;[Mouse]"/>
            <x15:cachedUniqueName index="7" name="[Products].[Product_Name].&amp;[Office Chair]"/>
            <x15:cachedUniqueName index="8" name="[Products].[Product_Name].&amp;[Power Bank]"/>
            <x15:cachedUniqueName index="9" name="[Products].[Product_Name].&amp;[Printer]"/>
          </x15:cachedUniqueNames>
        </ext>
      </extLst>
    </cacheField>
    <cacheField name="[Measures].[Sum of Sales_Amount]" caption="Sum of Sales_Amount" numFmtId="0" hierarchy="33" level="32767"/>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20" unbalanced="0"/>
    <cacheHierarchy uniqueName="[Sales].[Cost_Amount]" caption="Cost_Amount" attribute="1" defaultMemberUniqueName="[Sales].[Cost_Amount].[All]" allUniqueName="[Sales].[Cost_Am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ayment_Mode]" caption="Payment_Mode" attribute="1" defaultMemberUniqueName="[Sales].[Payment_Mode].[All]" allUniqueName="[Sales].[Payment_Mode].[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Total Sales]" caption="Total Sales" measure="1" displayFolder="" measureGroup="Sales" count="0"/>
    <cacheHierarchy uniqueName="[Measures].[Total Profit]" caption="Total Profit" measure="1" displayFolder="" measureGroup="Sales" count="0"/>
    <cacheHierarchy uniqueName="[Measures].[Total Orders]" caption="Total Orders" measure="1" displayFolder="" measureGroup="Sales" count="0"/>
    <cacheHierarchy uniqueName="[Measures].[Total Customers]" caption="Total Customers" measure="1" displayFolder="" measureGroup="Sales" count="0"/>
    <cacheHierarchy uniqueName="[Measures].[Average Order Value]" caption="Average Order Value" measure="1" displayFolder="" measureGroup="Sales" count="0"/>
    <cacheHierarchy uniqueName="[Measures].[Profit Margin %]" caption="Profit Margin %" measure="1" displayFolder="" measureGroup="Sales" count="0"/>
    <cacheHierarchy uniqueName="[Measures].[Top Product]" caption="Top Product" measure="1" displayFolder="" measureGroup="Sales" count="0"/>
    <cacheHierarchy uniqueName="[Measures].[Top Region]" caption="Top Reg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3649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238.579109143517" createdVersion="3" refreshedVersion="8" minRefreshableVersion="3" recordCount="0" supportSubquery="1" supportAdvancedDrill="1" xr:uid="{DD26DC7A-51C3-4069-8DF0-FC13B70EEE13}">
  <cacheSource type="external" connectionId="8">
    <extLst>
      <ext xmlns:x14="http://schemas.microsoft.com/office/spreadsheetml/2009/9/main" uri="{F057638F-6D5F-4e77-A914-E7F072B9BCA8}">
        <x14:sourceConnection name="ThisWorkbookDataModel"/>
      </ext>
    </extLst>
  </cacheSource>
  <cacheFields count="0"/>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Unit_Cost]" caption="Unit_Cost" attribute="1" defaultMemberUniqueName="[Products].[Unit_Cost].[All]" allUniqueName="[Products].[Unit_Cost].[All]" dimensionUniqueName="[Products]"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20" unbalanced="0"/>
    <cacheHierarchy uniqueName="[Sales].[Cost_Amount]" caption="Cost_Amount" attribute="1" defaultMemberUniqueName="[Sales].[Cost_Amount].[All]" allUniqueName="[Sales].[Cost_Amount].[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ayment_Mode]" caption="Payment_Mode" attribute="1" defaultMemberUniqueName="[Sales].[Payment_Mode].[All]" allUniqueName="[Sales].[Payment_Mode].[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Total Sales]" caption="Total Sales" measure="1" displayFolder="" measureGroup="Sales" count="0"/>
    <cacheHierarchy uniqueName="[Measures].[Total Profit]" caption="Total Profit" measure="1" displayFolder="" measureGroup="Sales" count="0"/>
    <cacheHierarchy uniqueName="[Measures].[Total Orders]" caption="Total Orders" measure="1" displayFolder="" measureGroup="Sales" count="0"/>
    <cacheHierarchy uniqueName="[Measures].[Total Customers]" caption="Total Customers" measure="1" displayFolder="" measureGroup="Sales" count="0"/>
    <cacheHierarchy uniqueName="[Measures].[Average Order Value]" caption="Average Order Value" measure="1" displayFolder="" measureGroup="Sales" count="0"/>
    <cacheHierarchy uniqueName="[Measures].[Profit Margin %]" caption="Profit Margin %" measure="1" displayFolder="" measureGroup="Sales" count="0"/>
    <cacheHierarchy uniqueName="[Measures].[Top Product]" caption="Top Product" measure="1" displayFolder="" measureGroup="Sales" count="0"/>
    <cacheHierarchy uniqueName="[Measures].[Top Region]" caption="Top Region"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290041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42C1A6-E3FB-44E3-833E-ED249F88C8EE}" name="PivotChartTable16" cacheId="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location ref="A1:B12" firstHeaderRow="1" firstDataRow="1" firstDataCol="1"/>
  <pivotFields count="2">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_Amoun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364970">
        <x15:pivotRow count="1">
          <x15:c>
            <x15:v>432000</x15:v>
          </x15:c>
        </x15:pivotRow>
        <x15:pivotRow count="1">
          <x15:c>
            <x15:v>92950</x15:v>
          </x15:c>
        </x15:pivotRow>
        <x15:pivotRow count="1">
          <x15:c>
            <x15:v>67430</x15:v>
          </x15:c>
        </x15:pivotRow>
        <x15:pivotRow count="1">
          <x15:c>
            <x15:v>47760</x15:v>
          </x15:c>
        </x15:pivotRow>
        <x15:pivotRow count="1">
          <x15:c>
            <x15:v>2994750</x15:v>
          </x15:c>
        </x15:pivotRow>
        <x15:pivotRow count="1">
          <x15:c>
            <x15:v>208600</x15:v>
          </x15:c>
        </x15:pivotRow>
        <x15:pivotRow count="1">
          <x15:c>
            <x15:v>7245</x15:v>
          </x15:c>
        </x15:pivotRow>
        <x15:pivotRow count="1">
          <x15:c>
            <x15:v>204850</x15:v>
          </x15:c>
        </x15:pivotRow>
        <x15:pivotRow count="1">
          <x15:c>
            <x15:v>54180</x15:v>
          </x15:c>
        </x15:pivotRow>
        <x15:pivotRow count="1">
          <x15:c>
            <x15:v>748800</x15:v>
          </x15:c>
        </x15:pivotRow>
        <x15:pivotRow count="1">
          <x15:c>
            <x15:v>4858565</x15:v>
          </x15:c>
        </x15:pivotRow>
      </x15:pivotTableData>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76A121-1F38-452D-A279-FDF267D3745C}" name="PivotChartTable13" cacheId="5"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3">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5" columnCount="1" cacheId="609497156">
        <x15:pivotRow count="1">
          <x15:c>
            <x15:v>1946215</x15:v>
            <x15:x in="0"/>
          </x15:c>
        </x15:pivotRow>
        <x15:pivotRow count="1">
          <x15:c>
            <x15:v>1823890</x15:v>
            <x15:x in="0"/>
          </x15:c>
        </x15:pivotRow>
        <x15:pivotRow count="1">
          <x15:c>
            <x15:v>920600</x15:v>
            <x15:x in="0"/>
          </x15:c>
        </x15:pivotRow>
        <x15:pivotRow count="1">
          <x15:c>
            <x15:v>2933045</x15:v>
            <x15:x in="0"/>
          </x15:c>
        </x15:pivotRow>
        <x15:pivotRow count="1">
          <x15:c>
            <x15:v>7623750</x15:v>
            <x15:x in="0"/>
          </x15:c>
        </x15:pivotRow>
      </x15:pivotTableData>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049A65-4442-4807-BF28-46F2EBD34BAA}" name="PivotChartTable12" cacheId="4"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3">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8" columnCount="1" cacheId="862886578">
        <x15:pivotRow count="1">
          <x15:c>
            <x15:v>133630</x15:v>
            <x15:x in="0"/>
          </x15:c>
        </x15:pivotRow>
        <x15:pivotRow count="1">
          <x15:c>
            <x15:v>345850</x15:v>
            <x15:x in="0"/>
          </x15:c>
        </x15:pivotRow>
        <x15:pivotRow count="1">
          <x15:c>
            <x15:v>123350</x15:v>
            <x15:x in="0"/>
          </x15:c>
        </x15:pivotRow>
        <x15:pivotRow count="1">
          <x15:c>
            <x15:v>389980</x15:v>
            <x15:x in="0"/>
          </x15:c>
        </x15:pivotRow>
        <x15:pivotRow count="1">
          <x15:c>
            <x15:v>38880</x15:v>
            <x15:x in="0"/>
          </x15:c>
        </x15:pivotRow>
        <x15:pivotRow count="1">
          <x15:c>
            <x15:v>96300</x15:v>
            <x15:x in="0"/>
          </x15:c>
        </x15:pivotRow>
        <x15:pivotRow count="1">
          <x15:c>
            <x15:v>20950</x15:v>
            <x15:x in="0"/>
          </x15:c>
        </x15:pivotRow>
        <x15:pivotRow count="1">
          <x15:c>
            <x15:v>1148940</x15:v>
            <x15:x in="0"/>
          </x15:c>
        </x15:pivotRow>
      </x15:pivotTableData>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F0809-513B-4A2C-B198-7854E90C5EA3}" name="PivotChartTable11" cacheId="3"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3">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8" columnCount="1" cacheId="339463984">
        <x15:pivotRow count="1">
          <x15:c>
            <x15:v>377940</x15:v>
            <x15:x in="0"/>
          </x15:c>
        </x15:pivotRow>
        <x15:pivotRow count="1">
          <x15:c>
            <x15:v>3203350</x15:v>
            <x15:x in="0"/>
          </x15:c>
        </x15:pivotRow>
        <x15:pivotRow count="1">
          <x15:c>
            <x15:v>636850</x15:v>
            <x15:x in="0"/>
          </x15:c>
        </x15:pivotRow>
        <x15:pivotRow count="1">
          <x15:c>
            <x15:v>2364180</x15:v>
            <x15:x in="0"/>
          </x15:c>
        </x15:pivotRow>
        <x15:pivotRow count="1">
          <x15:c>
            <x15:v>199680</x15:v>
            <x15:x in="0"/>
          </x15:c>
        </x15:pivotRow>
        <x15:pivotRow count="1">
          <x15:c>
            <x15:v>748800</x15:v>
            <x15:x in="0"/>
          </x15:c>
        </x15:pivotRow>
        <x15:pivotRow count="1">
          <x15:c>
            <x15:v>92950</x15:v>
            <x15:x in="0"/>
          </x15:c>
        </x15:pivotRow>
        <x15:pivotRow count="1">
          <x15:c>
            <x15:v>7623750</x15:v>
            <x15:x in="0"/>
          </x15:c>
        </x15:pivotRow>
      </x15:pivotTableData>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AA60D-AD20-4125-8325-B12A066DD4E0}" name="PivotChartTable10" cacheId="2"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5">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3" columnCount="1" cacheId="2007763980">
        <x15:pivotRow count="1">
          <x15:c>
            <x15:v>5545125</x15:v>
            <x15:x in="0"/>
          </x15:c>
        </x15:pivotRow>
        <x15:pivotRow count="1">
          <x15:c>
            <x15:v>2078625</x15:v>
            <x15:x in="0"/>
          </x15:c>
        </x15:pivotRow>
        <x15:pivotRow count="1">
          <x15:c>
            <x15:v>7623750</x15:v>
            <x15:x in="0"/>
          </x15:c>
        </x15:pivotRow>
      </x15:pivotTableData>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7F08A2-A69C-408B-995E-B53F0C39E8B4}" name="PivotChartTable9" cacheId="6"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chartFormat="13">
  <location ref="A3:B7"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pageFields count="1">
    <pageField fld="0" hier="10" name="[Sales].[Order_Date].[All]" cap="All"/>
  </pageFields>
  <dataFields count="1">
    <dataField fld="2" subtotal="count" baseField="0" baseItem="0"/>
  </dataFields>
  <chartFormats count="10">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1" format="6" series="1">
      <pivotArea type="data" outline="0" fieldPosition="0">
        <references count="2">
          <reference field="4294967294" count="1" selected="0">
            <x v="0"/>
          </reference>
          <reference field="1" count="1" selected="0">
            <x v="0"/>
          </reference>
        </references>
      </pivotArea>
    </chartFormat>
    <chartFormat chart="1" format="7" series="1">
      <pivotArea type="data" outline="0" fieldPosition="0">
        <references count="2">
          <reference field="4294967294" count="1" selected="0">
            <x v="0"/>
          </reference>
          <reference field="1" count="1" selected="0">
            <x v="1"/>
          </reference>
        </references>
      </pivotArea>
    </chartFormat>
    <chartFormat chart="1" format="8" series="1">
      <pivotArea type="data" outline="0" fieldPosition="0">
        <references count="2">
          <reference field="4294967294" count="1" selected="0">
            <x v="0"/>
          </reference>
          <reference field="1" count="1" selected="0">
            <x v="2"/>
          </reference>
        </references>
      </pivotArea>
    </chartFormat>
    <chartFormat chart="2" format="9" series="1">
      <pivotArea type="data" outline="0" fieldPosition="0">
        <references count="2">
          <reference field="4294967294" count="1" selected="0">
            <x v="0"/>
          </reference>
          <reference field="1" count="1" selected="0">
            <x v="0"/>
          </reference>
        </references>
      </pivotArea>
    </chartFormat>
    <chartFormat chart="2" format="10" series="1">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2">
          <reference field="4294967294" count="1" selected="0">
            <x v="0"/>
          </reference>
          <reference field="1" count="1" selected="0">
            <x v="2"/>
          </reference>
        </references>
      </pivotArea>
    </chartFormat>
    <chartFormat chart="2" format="1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4" columnCount="1" cacheId="994421366">
        <x15:pivotRow count="1">
          <x15:c>
            <x15:v>2100570</x15:v>
            <x15:x in="0"/>
          </x15:c>
        </x15:pivotRow>
        <x15:pivotRow count="1">
          <x15:c>
            <x15:v>2838480</x15:v>
            <x15:x in="0"/>
          </x15:c>
        </x15:pivotRow>
        <x15:pivotRow count="1">
          <x15:c>
            <x15:v>2684700</x15:v>
            <x15:x in="0"/>
          </x15:c>
        </x15:pivotRow>
        <x15:pivotRow count="1">
          <x15:c>
            <x15:v>7623750</x15:v>
            <x15:x in="0"/>
          </x15:c>
        </x15:pivotRow>
      </x15:pivotTableData>
    </ext>
    <ext xmlns:x15="http://schemas.microsoft.com/office/spreadsheetml/2010/11/main" uri="{E67621CE-5B39-4880-91FE-76760E9C1902}">
      <x15:pivotTableUISettings>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94F9F6-667E-4850-B9BD-928ED29BCB4B}" name="PivotTable1" cacheId="0" applyNumberFormats="0" applyBorderFormats="0" applyFontFormats="0" applyPatternFormats="0" applyAlignmentFormats="0" applyWidthHeightFormats="1" dataCaption="Values" tag="d33b799d-86b5-4d18-b6de-e623312a77b1" updatedVersion="8" minRefreshableVersion="3" useAutoFormatting="1" subtotalHiddenItems="1" itemPrintTitles="1" createdVersion="5" indent="0" outline="1" outlineData="1" multipleFieldFilters="0">
  <location ref="D3:K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64"/>
    <dataField fld="1" subtotal="count" baseField="0" baseItem="0" numFmtId="164"/>
    <dataField fld="2" subtotal="count" baseField="0" baseItem="0" numFmtId="164"/>
    <dataField fld="3" subtotal="count" baseField="0" baseItem="0" numFmtId="164"/>
    <dataField fld="4" subtotal="count" baseField="0" baseItem="0" numFmtId="164"/>
    <dataField fld="5" subtotal="count" baseField="0" baseItem="0" numFmtId="10"/>
    <dataField fld="6" subtotal="count" baseField="0" baseItem="0"/>
    <dataField fld="7" subtotal="count" baseField="0" baseItem="0"/>
  </dataFields>
  <formats count="34">
    <format dxfId="33">
      <pivotArea dataOnly="0" labelOnly="1" outline="0" fieldPosition="0">
        <references count="1">
          <reference field="4294967294" count="8">
            <x v="0"/>
            <x v="1"/>
            <x v="2"/>
            <x v="3"/>
            <x v="4"/>
            <x v="5"/>
            <x v="6"/>
            <x v="7"/>
          </reference>
        </references>
      </pivotArea>
    </format>
    <format dxfId="32">
      <pivotArea dataOnly="0" labelOnly="1" outline="0" fieldPosition="0">
        <references count="1">
          <reference field="4294967294" count="1">
            <x v="0"/>
          </reference>
        </references>
      </pivotArea>
    </format>
    <format dxfId="31">
      <pivotArea dataOnly="0" labelOnly="1" outline="0" fieldPosition="0">
        <references count="1">
          <reference field="4294967294" count="2">
            <x v="1"/>
            <x v="2"/>
          </reference>
        </references>
      </pivotArea>
    </format>
    <format dxfId="30">
      <pivotArea dataOnly="0" labelOnly="1" outline="0" fieldPosition="0">
        <references count="1">
          <reference field="4294967294" count="1">
            <x v="1"/>
          </reference>
        </references>
      </pivotArea>
    </format>
    <format dxfId="29">
      <pivotArea dataOnly="0" labelOnly="1" outline="0" fieldPosition="0">
        <references count="1">
          <reference field="4294967294" count="1">
            <x v="3"/>
          </reference>
        </references>
      </pivotArea>
    </format>
    <format dxfId="28">
      <pivotArea dataOnly="0" labelOnly="1" outline="0" fieldPosition="0">
        <references count="1">
          <reference field="4294967294" count="1">
            <x v="4"/>
          </reference>
        </references>
      </pivotArea>
    </format>
    <format dxfId="27">
      <pivotArea dataOnly="0" labelOnly="1" outline="0" fieldPosition="0">
        <references count="1">
          <reference field="4294967294" count="1">
            <x v="5"/>
          </reference>
        </references>
      </pivotArea>
    </format>
    <format dxfId="26">
      <pivotArea dataOnly="0" labelOnly="1" outline="0" fieldPosition="0">
        <references count="1">
          <reference field="4294967294" count="1">
            <x v="6"/>
          </reference>
        </references>
      </pivotArea>
    </format>
    <format dxfId="25">
      <pivotArea dataOnly="0" labelOnly="1" outline="0" fieldPosition="0">
        <references count="1">
          <reference field="4294967294" count="1">
            <x v="7"/>
          </reference>
        </references>
      </pivotArea>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dataOnly="0" labelOnly="1" outline="0" fieldPosition="0">
        <references count="1">
          <reference field="4294967294" count="8">
            <x v="0"/>
            <x v="1"/>
            <x v="2"/>
            <x v="3"/>
            <x v="4"/>
            <x v="5"/>
            <x v="6"/>
            <x v="7"/>
          </reference>
        </references>
      </pivotArea>
    </format>
    <format dxfId="20">
      <pivotArea dataOnly="0" labelOnly="1" outline="0" fieldPosition="0">
        <references count="1">
          <reference field="4294967294" count="8">
            <x v="0"/>
            <x v="1"/>
            <x v="2"/>
            <x v="3"/>
            <x v="4"/>
            <x v="5"/>
            <x v="6"/>
            <x v="7"/>
          </reference>
        </references>
      </pivotArea>
    </format>
    <format dxfId="19">
      <pivotArea outline="0" collapsedLevelsAreSubtotals="1" fieldPosition="0">
        <references count="1">
          <reference field="4294967294" count="6" selected="0">
            <x v="0"/>
            <x v="1"/>
            <x v="2"/>
            <x v="3"/>
            <x v="4"/>
            <x v="5"/>
          </reference>
        </references>
      </pivotArea>
    </format>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3"/>
          </reference>
        </references>
      </pivotArea>
    </format>
    <format dxfId="14">
      <pivotArea outline="0" collapsedLevelsAreSubtotals="1" fieldPosition="0">
        <references count="1">
          <reference field="4294967294" count="1" selected="0">
            <x v="4"/>
          </reference>
        </references>
      </pivotArea>
    </format>
    <format dxfId="13">
      <pivotArea dataOnly="0" labelOnly="1" outline="0" fieldPosition="0">
        <references count="1">
          <reference field="4294967294" count="8">
            <x v="0"/>
            <x v="1"/>
            <x v="2"/>
            <x v="3"/>
            <x v="4"/>
            <x v="5"/>
            <x v="6"/>
            <x v="7"/>
          </reference>
        </references>
      </pivotArea>
    </format>
    <format dxfId="12">
      <pivotArea dataOnly="0" labelOnly="1" outline="0" fieldPosition="0">
        <references count="1">
          <reference field="4294967294" count="8">
            <x v="0"/>
            <x v="1"/>
            <x v="2"/>
            <x v="3"/>
            <x v="4"/>
            <x v="5"/>
            <x v="6"/>
            <x v="7"/>
          </reference>
        </references>
      </pivotArea>
    </format>
    <format dxfId="11">
      <pivotArea dataOnly="0" labelOnly="1" outline="0" fieldPosition="0">
        <references count="1">
          <reference field="4294967294" count="8">
            <x v="0"/>
            <x v="1"/>
            <x v="2"/>
            <x v="3"/>
            <x v="4"/>
            <x v="5"/>
            <x v="6"/>
            <x v="7"/>
          </reference>
        </references>
      </pivotArea>
    </format>
    <format dxfId="10">
      <pivotArea outline="0" collapsedLevelsAreSubtotals="1" fieldPosition="0">
        <references count="1">
          <reference field="4294967294" count="1" selected="0">
            <x v="5"/>
          </reference>
        </references>
      </pivotArea>
    </format>
    <format dxfId="9">
      <pivotArea dataOnly="0" labelOnly="1" outline="0" fieldPosition="0">
        <references count="1">
          <reference field="4294967294" count="8">
            <x v="0"/>
            <x v="1"/>
            <x v="2"/>
            <x v="3"/>
            <x v="4"/>
            <x v="5"/>
            <x v="6"/>
            <x v="7"/>
          </reference>
        </references>
      </pivotArea>
    </format>
    <format dxfId="8">
      <pivotArea dataOnly="0" labelOnly="1" outline="0" fieldPosition="0">
        <references count="1">
          <reference field="4294967294" count="8">
            <x v="0"/>
            <x v="1"/>
            <x v="2"/>
            <x v="3"/>
            <x v="4"/>
            <x v="5"/>
            <x v="6"/>
            <x v="7"/>
          </reference>
        </references>
      </pivotArea>
    </format>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4"/>
          </reference>
        </references>
      </pivotArea>
    </format>
    <format dxfId="2">
      <pivotArea outline="0" collapsedLevelsAreSubtotals="1" fieldPosition="0">
        <references count="1">
          <reference field="4294967294" count="1" selected="0">
            <x v="5"/>
          </reference>
        </references>
      </pivotArea>
    </format>
    <format dxfId="1">
      <pivotArea outline="0" collapsedLevelsAreSubtotals="1" fieldPosition="0">
        <references count="1">
          <reference field="4294967294" count="1" selected="0">
            <x v="6"/>
          </reference>
        </references>
      </pivotArea>
    </format>
    <format dxfId="0">
      <pivotArea outline="0" collapsedLevelsAreSubtotals="1" fieldPosition="0">
        <references count="1">
          <reference field="4294967294" count="1" selected="0">
            <x v="7"/>
          </reference>
        </references>
      </pivotArea>
    </format>
  </formats>
  <pivotHierarchies count="3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C1155CBC-DEDC-4A9F-8B5D-A2CABEA967E8}" autoFormatId="16" applyNumberFormats="0" applyBorderFormats="0" applyFontFormats="0" applyPatternFormats="0" applyAlignmentFormats="0" applyWidthHeightFormats="0">
  <queryTableRefresh nextId="12">
    <queryTableFields count="10">
      <queryTableField id="10" name="Order_ID" tableColumnId="10"/>
      <queryTableField id="1" name="Order_Date" tableColumnId="1"/>
      <queryTableField id="2" name="Customer_ID" tableColumnId="2"/>
      <queryTableField id="3" name="Product_ID" tableColumnId="3"/>
      <queryTableField id="4" name="Quantity" tableColumnId="4"/>
      <queryTableField id="5" name="Discount" tableColumnId="5"/>
      <queryTableField id="6" name="Sales_Amount" tableColumnId="6"/>
      <queryTableField id="7" name="Cost_Amount" tableColumnId="7"/>
      <queryTableField id="8" name="Profit" tableColumnId="8"/>
      <queryTableField id="9" name="Payment_Mod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C7E256DF-CDE6-4DB5-9744-A351EB879901}" autoFormatId="16" applyNumberFormats="0" applyBorderFormats="0" applyFontFormats="0" applyPatternFormats="0" applyAlignmentFormats="0" applyWidthHeightFormats="0">
  <queryTableRefresh nextId="13">
    <queryTableFields count="10">
      <queryTableField id="10" name="Order_ID" tableColumnId="10"/>
      <queryTableField id="1" name="Order_Date" tableColumnId="1"/>
      <queryTableField id="2" name="Customer_ID" tableColumnId="2"/>
      <queryTableField id="3" name="Product_ID" tableColumnId="3"/>
      <queryTableField id="4" name="Quantity" tableColumnId="4"/>
      <queryTableField id="5" name="Discount" tableColumnId="5"/>
      <queryTableField id="6" name="Sales_Amount" tableColumnId="6"/>
      <queryTableField id="7" name="Cost_Amount" tableColumnId="7"/>
      <queryTableField id="8" name="Profit" tableColumnId="8"/>
      <queryTableField id="11" name="Payment_Mode"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DC1BB61D-A4C7-4C1F-AA81-B43CEEFE8D5C}" autoFormatId="16" applyNumberFormats="0" applyBorderFormats="0" applyFontFormats="0" applyPatternFormats="0" applyAlignmentFormats="0" applyWidthHeightFormats="0">
  <queryTableRefresh nextId="12">
    <queryTableFields count="10">
      <queryTableField id="9" name="Order_ID" tableColumnId="9"/>
      <queryTableField id="1" name="Order_Date" tableColumnId="1"/>
      <queryTableField id="2" name="Customer_ID" tableColumnId="2"/>
      <queryTableField id="3" name="Product_ID" tableColumnId="3"/>
      <queryTableField id="4" name="Quantity" tableColumnId="4"/>
      <queryTableField id="5" name="Discount" tableColumnId="5"/>
      <queryTableField id="6" name="Sales_Amount" tableColumnId="6"/>
      <queryTableField id="7" name="Cost_Amount" tableColumnId="7"/>
      <queryTableField id="8" name="Profit" tableColumnId="8"/>
      <queryTableField id="10" name="Payment_Mode"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6F7F80DE-C24E-49CE-94A2-29E7233A67A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Unit_Price" tableColumnId="4"/>
      <queryTableField id="5" name="Unit_Cost"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7" xr16:uid="{1E8A66AA-9BD5-4461-A688-7BFE39F7ABFE}" autoFormatId="16" applyNumberFormats="0" applyBorderFormats="0" applyFontFormats="0" applyPatternFormats="0" applyAlignmentFormats="0" applyWidthHeightFormats="0">
  <queryTableRefresh nextId="12">
    <queryTableFields count="10">
      <queryTableField id="10" name="Order_ID" tableColumnId="10"/>
      <queryTableField id="1" name="Order_Date" tableColumnId="1"/>
      <queryTableField id="2" name="Customer_ID" tableColumnId="2"/>
      <queryTableField id="3" name="Product_ID" tableColumnId="3"/>
      <queryTableField id="4" name="Quantity" tableColumnId="4"/>
      <queryTableField id="5" name="Discount" tableColumnId="5"/>
      <queryTableField id="6" name="Sales_Amount" tableColumnId="6"/>
      <queryTableField id="7" name="Cost_Amount" tableColumnId="7"/>
      <queryTableField id="8" name="Profit" tableColumnId="8"/>
      <queryTableField id="9" name="Payment_Mod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BB888C9D-1155-4B78-B8DE-529FD46DBA52}" autoFormatId="16" applyNumberFormats="0" applyBorderFormats="0" applyFontFormats="0" applyPatternFormats="0" applyAlignmentFormats="0" applyWidthHeightFormats="0">
  <queryTableRefresh nextId="5">
    <queryTableFields count="4">
      <queryTableField id="1" name="Customer_ID" tableColumnId="1"/>
      <queryTableField id="2" name="Customer_Name" tableColumnId="2"/>
      <queryTableField id="3" name="City" tableColumnId="3"/>
      <queryTableField id="4" name="Region"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FF00FA-3D1E-4946-9985-4E0A9D2D3A0E}" sourceName="[Customers].[Region]">
  <pivotTables>
    <pivotTable tabId="9" name="PivotTable1"/>
  </pivotTables>
  <data>
    <olap pivotCacheId="1069020197">
      <levels count="2">
        <level uniqueName="[Customers].[Region].[(All)]" sourceCaption="(All)" count="0"/>
        <level uniqueName="[Customers].[Region].[Region]" sourceCaption="Region" count="2">
          <ranges>
            <range startItem="0">
              <i n="[Customers].[Region].&amp;[South]" c="South"/>
              <i n="[Customers].[Region].&amp;[West]" c="West"/>
            </range>
          </ranges>
        </level>
      </levels>
      <selections count="1">
        <selection n="[Customers].[Region].[All]"/>
      </selections>
    </olap>
  </data>
  <extLst>
    <x:ext xmlns:x15="http://schemas.microsoft.com/office/spreadsheetml/2010/11/main" uri="{03082B11-2C62-411c-B77F-237D8FCFBE4C}">
      <x15:slicerCachePivotTables>
        <pivotTable tabId="4294967295" name="PivotChartTable10"/>
        <pivotTable tabId="4294967295" name="PivotChartTable9"/>
        <pivotTable tabId="4294967295" name="PivotChartTable11"/>
        <pivotTable tabId="4294967295" name="PivotChartTable12"/>
        <pivotTable tabId="4294967295" name="PivotChartTable1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F69F2E8-FE45-4187-82E9-0580F30DD8C7}" sourceName="[Products].[Product_Name]">
  <pivotTables>
    <pivotTable tabId="9" name="PivotTable1"/>
  </pivotTables>
  <data>
    <olap pivotCacheId="1069020197">
      <levels count="2">
        <level uniqueName="[Products].[Product_Name].[(All)]" sourceCaption="(All)" count="0"/>
        <level uniqueName="[Products].[Product_Name].[Product_Name]" sourceCaption="Product_Name" count="15">
          <ranges>
            <range startItem="0">
              <i n="[Products].[Product_Name].&amp;[Desk]" c="Desk"/>
              <i n="[Products].[Product_Name].&amp;[External SSD]" c="External SSD"/>
              <i n="[Products].[Product_Name].&amp;[Headset]" c="Headset"/>
              <i n="[Products].[Product_Name].&amp;[Keyboard]" c="Keyboard"/>
              <i n="[Products].[Product_Name].&amp;[Laptop 15]" c="Laptop 15"/>
              <i n="[Products].[Product_Name].&amp;[Monitor 24]" c="Monitor 24"/>
              <i n="[Products].[Product_Name].&amp;[Mouse]" c="Mouse"/>
              <i n="[Products].[Product_Name].&amp;[Office Chair]" c="Office Chair"/>
              <i n="[Products].[Product_Name].&amp;[Power Bank]" c="Power Bank"/>
              <i n="[Products].[Product_Name].&amp;[Printer]" c="Printer"/>
              <i n="[Products].[Product_Name].&amp;[Router]" c="Router"/>
              <i n="[Products].[Product_Name].&amp;[Smartphone]" c="Smartphone"/>
              <i n="[Products].[Product_Name].&amp;[Tablet]" c="Tablet"/>
              <i n="[Products].[Product_Name].&amp;[USB Hub]" c="USB Hub"/>
              <i n="[Products].[Product_Name].&amp;[Webcam]" c="Webcam"/>
            </range>
          </ranges>
        </level>
      </levels>
      <selections count="1">
        <selection n="[Products].[Product_Name].[All]"/>
      </selections>
    </olap>
  </data>
  <extLst>
    <x:ext xmlns:x15="http://schemas.microsoft.com/office/spreadsheetml/2010/11/main" uri="{03082B11-2C62-411c-B77F-237D8FCFBE4C}">
      <x15:slicerCachePivotTables>
        <pivotTable tabId="4294967295" name="PivotChartTable11"/>
        <pivotTable tabId="4294967295" name="PivotChartTable9"/>
        <pivotTable tabId="4294967295" name="PivotChartTable10"/>
        <pivotTable tabId="4294967295" name="PivotChartTable12"/>
        <pivotTable tabId="4294967295" name="PivotChartTable1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A97AFAC-70D8-43E9-9852-9A79890D0621}" sourceName="[Sales].[Payment_Mode]">
  <pivotTables>
    <pivotTable tabId="9" name="PivotTable1"/>
  </pivotTables>
  <data>
    <olap pivotCacheId="1069020197">
      <levels count="2">
        <level uniqueName="[Sales].[Payment_Mode].[(All)]" sourceCaption="(All)" count="0"/>
        <level uniqueName="[Sales].[Payment_Mode].[Payment_Mode]" sourceCaption="Payment_Mode" count="4">
          <ranges>
            <range startItem="0">
              <i n="[Sales].[Payment_Mode].&amp;[Bank Transfer]" c="Bank Transfer"/>
              <i n="[Sales].[Payment_Mode].&amp;[Card]" c="Card"/>
              <i n="[Sales].[Payment_Mode].&amp;[Cash]" c="Cash"/>
              <i n="[Sales].[Payment_Mode].&amp;[UPI]" c="UPI"/>
            </range>
          </ranges>
        </level>
      </levels>
      <selections count="1">
        <selection n="[Sales].[Payment_Mode].[All]"/>
      </selections>
    </olap>
  </data>
  <extLst>
    <x:ext xmlns:x15="http://schemas.microsoft.com/office/spreadsheetml/2010/11/main" uri="{03082B11-2C62-411c-B77F-237D8FCFBE4C}">
      <x15:slicerCachePivotTables>
        <pivotTable tabId="4294967295" name="PivotChartTable13"/>
        <pivotTable tabId="4294967295" name="PivotChartTable9"/>
        <pivotTable tabId="4294967295" name="PivotChartTable10"/>
        <pivotTable tabId="4294967295" name="PivotChartTable11"/>
        <pivotTable tabId="4294967295" name="PivotChartTable1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6A652A19-6800-433A-84EF-B00F79083C51}" sourceName="[Customers].[Customer_Name]">
  <pivotTables>
    <pivotTable tabId="9" name="PivotTable1"/>
  </pivotTables>
  <data>
    <olap pivotCacheId="1069020197">
      <levels count="2">
        <level uniqueName="[Customers].[Customer_Name].[(All)]" sourceCaption="(All)" count="0"/>
        <level uniqueName="[Customers].[Customer_Name].[Customer_Name]" sourceCaption="Customer_Name" count="20">
          <ranges>
            <range startItem="0">
              <i n="[Customers].[Customer_Name].&amp;[Aarav Traders]" c="Aarav Traders"/>
              <i n="[Customers].[Customer_Name].&amp;[Bright Stores]" c="Bright Stores"/>
              <i n="[Customers].[Customer_Name].&amp;[City Mart]" c="City Mart"/>
              <i n="[Customers].[Customer_Name].&amp;[Delta Enterprises]" c="Delta Enterprises"/>
              <i n="[Customers].[Customer_Name].&amp;[Elite Retail]" c="Elite Retail"/>
              <i n="[Customers].[Customer_Name].&amp;[Fresh Choice]" c="Fresh Choice"/>
              <i n="[Customers].[Customer_Name].&amp;[Galaxy Supplies]" c="Galaxy Supplies"/>
              <i n="[Customers].[Customer_Name].&amp;[Green Basket]" c="Green Basket"/>
              <i n="[Customers].[Customer_Name].&amp;[Horizon Retail]" c="Horizon Retail"/>
              <i n="[Customers].[Customer_Name].&amp;[Ideal Stores]" c="Ideal Stores"/>
              <i n="[Customers].[Customer_Name].&amp;[Jupiter Mart]" c="Jupiter Mart"/>
              <i n="[Customers].[Customer_Name].&amp;[Kaveri Traders]" c="Kaveri Traders"/>
              <i n="[Customers].[Customer_Name].&amp;[Lotus Retail]" c="Lotus Retail"/>
              <i n="[Customers].[Customer_Name].&amp;[Metro Supplies]" c="Metro Supplies"/>
              <i n="[Customers].[Customer_Name].&amp;[Nova Stores]" c="Nova Stores"/>
              <i n="[Customers].[Customer_Name].&amp;[Om Sai Traders]" c="Om Sai Traders"/>
              <i n="[Customers].[Customer_Name].&amp;[Prime Mart]" c="Prime Mart"/>
              <i n="[Customers].[Customer_Name].&amp;[Quick Buy]" c="Quick Buy"/>
              <i n="[Customers].[Customer_Name].&amp;[Royal Enterprises]" c="Royal Enterprises"/>
              <i n="[Customers].[Customer_Name].&amp;[Sunrise Stores]" c="Sunrise Stores"/>
            </range>
          </ranges>
        </level>
      </levels>
      <selections count="1">
        <selection n="[Customers].[Customer_Name].[All]"/>
      </selections>
    </olap>
  </data>
  <extLst>
    <x:ext xmlns:x15="http://schemas.microsoft.com/office/spreadsheetml/2010/11/main" uri="{03082B11-2C62-411c-B77F-237D8FCFBE4C}">
      <x15:slicerCachePivotTables>
        <pivotTable tabId="4294967295" name="PivotChartTable9"/>
        <pivotTable tabId="4294967295" name="PivotChartTable10"/>
        <pivotTable tabId="4294967295" name="PivotChartTable11"/>
        <pivotTable tabId="4294967295" name="PivotChartTable12"/>
        <pivotTable tabId="4294967295" name="PivotChartTable1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650172-227E-4561-8A5E-C0B88366913C}" cache="Slicer_Region" caption="Region" level="1" rowHeight="234950"/>
  <slicer name="Product_Name" xr10:uid="{401E6FCE-E6D2-4D5F-AC7E-1DB17ACDD25B}" cache="Slicer_Product_Name" caption="Product_Name" level="1" rowHeight="234950"/>
  <slicer name="Payment_Mode" xr10:uid="{5078D8AA-B32C-4B93-8FD0-38E626CDA949}" cache="Slicer_Payment_Mode" caption="Payment_Mode" level="1" rowHeight="234950"/>
  <slicer name="Customer_Name" xr10:uid="{BCA93B44-AB66-4228-9AD3-DE247F90B58C}" cache="Slicer_Customer_Name" caption="Customer_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2613CB-2DF3-47AA-B4D3-9D0177121B61}" name="Sales_Mar" displayName="Sales_Mar" ref="A1:J46" tableType="queryTable" totalsRowShown="0">
  <autoFilter ref="A1:J46" xr:uid="{5F2613CB-2DF3-47AA-B4D3-9D0177121B61}"/>
  <tableColumns count="10">
    <tableColumn id="10" xr3:uid="{D7A12B8C-3D4F-44ED-898C-B57C72688295}" uniqueName="10" name="Order_ID" queryTableFieldId="10" dataDxfId="56"/>
    <tableColumn id="1" xr3:uid="{13509487-B0CE-443A-ACD3-B1A918678F45}" uniqueName="1" name="Order_Date" queryTableFieldId="1" dataDxfId="55"/>
    <tableColumn id="2" xr3:uid="{64E4B158-EDDD-411A-A438-13CEE8CEFB00}" uniqueName="2" name="Customer_ID" queryTableFieldId="2" dataDxfId="54"/>
    <tableColumn id="3" xr3:uid="{5BF16337-C1A2-49C1-B7C5-6B1F56F175E6}" uniqueName="3" name="Product_ID" queryTableFieldId="3" dataDxfId="53"/>
    <tableColumn id="4" xr3:uid="{587C1EAF-4F7B-45F1-B14B-149FFF2C388C}" uniqueName="4" name="Quantity" queryTableFieldId="4"/>
    <tableColumn id="5" xr3:uid="{21C97CB6-DD13-4A08-81A9-5D01028C1D58}" uniqueName="5" name="Discount" queryTableFieldId="5"/>
    <tableColumn id="6" xr3:uid="{25251E63-611E-4561-8D4D-020A5D2A28AE}" uniqueName="6" name="Sales_Amount" queryTableFieldId="6"/>
    <tableColumn id="7" xr3:uid="{43B46E04-07DE-4A62-82E9-F320947C5348}" uniqueName="7" name="Cost_Amount" queryTableFieldId="7"/>
    <tableColumn id="8" xr3:uid="{2951399C-AE32-4623-8B8F-C14C11219ADF}" uniqueName="8" name="Profit" queryTableFieldId="8"/>
    <tableColumn id="9" xr3:uid="{96FFC275-D1BF-4AD4-9659-058626FA583A}" uniqueName="9" name="Payment_Mode" queryTableFieldId="9" dataDxfId="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DF7798-4E01-4B22-995C-E85B73D3C0F1}" name="Sales_Jan" displayName="Sales_Jan" ref="A1:J46" tableType="queryTable" totalsRowShown="0">
  <autoFilter ref="A1:J46" xr:uid="{33DF7798-4E01-4B22-995C-E85B73D3C0F1}"/>
  <tableColumns count="10">
    <tableColumn id="10" xr3:uid="{1296FC23-22AD-4D68-B407-A28B522BBC5C}" uniqueName="10" name="Order_ID" queryTableFieldId="10" dataDxfId="51"/>
    <tableColumn id="1" xr3:uid="{8ED8384B-5D1E-4514-ADF9-4B8443699AFD}" uniqueName="1" name="Order_Date" queryTableFieldId="1" dataDxfId="50"/>
    <tableColumn id="2" xr3:uid="{F65E7111-91EA-47A0-A5BB-F11871ADEEA5}" uniqueName="2" name="Customer_ID" queryTableFieldId="2" dataDxfId="49"/>
    <tableColumn id="3" xr3:uid="{DC6F0904-020A-4F87-ACD6-22F26A6236ED}" uniqueName="3" name="Product_ID" queryTableFieldId="3" dataDxfId="48"/>
    <tableColumn id="4" xr3:uid="{3F050A53-B779-4E60-9553-AC38BCFAD810}" uniqueName="4" name="Quantity" queryTableFieldId="4"/>
    <tableColumn id="5" xr3:uid="{5DA0AD11-6685-4BE0-B135-7B99ACF41E3E}" uniqueName="5" name="Discount" queryTableFieldId="5"/>
    <tableColumn id="6" xr3:uid="{94723529-ADB7-4681-AA58-14A97620CF68}" uniqueName="6" name="Sales_Amount" queryTableFieldId="6"/>
    <tableColumn id="7" xr3:uid="{747684EF-73BB-4B8D-866F-528BA7F878C9}" uniqueName="7" name="Cost_Amount" queryTableFieldId="7"/>
    <tableColumn id="8" xr3:uid="{CB820834-F72B-4E10-A0F0-81364EF51955}" uniqueName="8" name="Profit" queryTableFieldId="8"/>
    <tableColumn id="11" xr3:uid="{AC542480-1E7D-43FB-9D72-FDCC2A0B0037}" uniqueName="11" name="Payment_Mode" queryTableFieldId="11" dataDxfId="4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9502F2-7015-4A60-8BE8-5C1B49526AB1}" name="Sales_Feb" displayName="Sales_Feb" ref="A1:J46" tableType="queryTable" totalsRowShown="0">
  <autoFilter ref="A1:J46" xr:uid="{B79502F2-7015-4A60-8BE8-5C1B49526AB1}"/>
  <tableColumns count="10">
    <tableColumn id="9" xr3:uid="{73840203-0F85-4ABD-9736-11EDDC5AE68D}" uniqueName="9" name="Order_ID" queryTableFieldId="9" dataDxfId="46"/>
    <tableColumn id="1" xr3:uid="{574303F6-07D2-4386-8F49-7A7467299B1A}" uniqueName="1" name="Order_Date" queryTableFieldId="1" dataDxfId="45"/>
    <tableColumn id="2" xr3:uid="{8344CC29-E927-427B-947D-49EE8C2BCE29}" uniqueName="2" name="Customer_ID" queryTableFieldId="2" dataDxfId="44"/>
    <tableColumn id="3" xr3:uid="{794AB8A5-699C-425E-AC87-9771A7F9A4FE}" uniqueName="3" name="Product_ID" queryTableFieldId="3" dataDxfId="43"/>
    <tableColumn id="4" xr3:uid="{CB8D4912-1F3B-4FFF-94FA-07E7520FFF38}" uniqueName="4" name="Quantity" queryTableFieldId="4"/>
    <tableColumn id="5" xr3:uid="{31B8589C-7F4C-44D6-ADC1-475B138E0456}" uniqueName="5" name="Discount" queryTableFieldId="5"/>
    <tableColumn id="6" xr3:uid="{FEA84BF7-DC4C-4026-AB4F-40397F5D928B}" uniqueName="6" name="Sales_Amount" queryTableFieldId="6"/>
    <tableColumn id="7" xr3:uid="{0F4D4998-AE29-41AF-85C1-A30260065C17}" uniqueName="7" name="Cost_Amount" queryTableFieldId="7"/>
    <tableColumn id="8" xr3:uid="{E4F9A6C7-2A78-4B59-822E-104AD6492DFA}" uniqueName="8" name="Profit" queryTableFieldId="8"/>
    <tableColumn id="10" xr3:uid="{ACE153B9-79F8-4F6B-AEEC-A36502050AE0}" uniqueName="10" name="Payment_Mode" queryTableFieldId="10" dataDxfId="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286D8C-E698-457F-8D7B-A3BDA9209349}" name="Products" displayName="Products" ref="A1:E16" tableType="queryTable" totalsRowShown="0">
  <autoFilter ref="A1:E16" xr:uid="{29286D8C-E698-457F-8D7B-A3BDA9209349}"/>
  <tableColumns count="5">
    <tableColumn id="1" xr3:uid="{2EC67982-73C0-496D-965F-0E1AE42BBC10}" uniqueName="1" name="Product_ID" queryTableFieldId="1" dataDxfId="41"/>
    <tableColumn id="2" xr3:uid="{5F4A1ECF-AF18-45C1-837F-E8A94D5AA825}" uniqueName="2" name="Product_Name" queryTableFieldId="2" dataDxfId="40"/>
    <tableColumn id="3" xr3:uid="{B38DFCA2-B6E7-44D6-A081-611C7BE1F648}" uniqueName="3" name="Category" queryTableFieldId="3" dataDxfId="39"/>
    <tableColumn id="4" xr3:uid="{7CD402B2-8594-4440-A011-9AA3D343A4CF}" uniqueName="4" name="Unit_Price" queryTableFieldId="4"/>
    <tableColumn id="5" xr3:uid="{C283D7E0-C956-4DDB-B4B6-785F80B95652}" uniqueName="5" name="Unit_Cost" queryTableField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1224CF-A2EC-4393-AE8D-B20FD8E55089}" name="Sales" displayName="Sales" ref="A1:J136" tableType="queryTable" totalsRowShown="0">
  <autoFilter ref="A1:J136" xr:uid="{BA1224CF-A2EC-4393-AE8D-B20FD8E55089}"/>
  <tableColumns count="10">
    <tableColumn id="10" xr3:uid="{ACEA533F-96AA-4207-8D75-DE017E0AC703}" uniqueName="10" name="Order_ID" queryTableFieldId="10" dataDxfId="38"/>
    <tableColumn id="1" xr3:uid="{58C13A01-97CC-408B-BDE4-1A0C161F2F66}" uniqueName="1" name="Order_Date" queryTableFieldId="1" dataDxfId="37"/>
    <tableColumn id="2" xr3:uid="{23FA5772-0700-4256-959E-284CC47927F0}" uniqueName="2" name="Customer_ID" queryTableFieldId="2" dataDxfId="36"/>
    <tableColumn id="3" xr3:uid="{B7623630-F9AF-42AC-84F5-F91490F87283}" uniqueName="3" name="Product_ID" queryTableFieldId="3" dataDxfId="35"/>
    <tableColumn id="4" xr3:uid="{7EF6EB9B-619D-4AE0-9101-723472BDAD6A}" uniqueName="4" name="Quantity" queryTableFieldId="4"/>
    <tableColumn id="5" xr3:uid="{634633CA-7C7F-4073-92AE-3B6382E34A0D}" uniqueName="5" name="Discount" queryTableFieldId="5"/>
    <tableColumn id="6" xr3:uid="{6AAC14CA-0155-4E5E-86C0-74418B7D39CC}" uniqueName="6" name="Sales_Amount" queryTableFieldId="6"/>
    <tableColumn id="7" xr3:uid="{53E8B065-E87E-4653-B848-EA7B68F8375B}" uniqueName="7" name="Cost_Amount" queryTableFieldId="7"/>
    <tableColumn id="8" xr3:uid="{3912B77B-4684-4512-95E8-1C26929EDECE}" uniqueName="8" name="Profit" queryTableFieldId="8"/>
    <tableColumn id="9" xr3:uid="{688A8BF1-F0A6-4ECE-87A6-6DDECA4C1406}" uniqueName="9" name="Payment_Mode" queryTableFieldId="9" dataDxfId="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A8807D-C5B3-40CF-BF13-8EC3B58ECDE4}" name="Customers" displayName="Customers" ref="A1:D21" tableType="queryTable" totalsRowShown="0">
  <autoFilter ref="A1:D21" xr:uid="{E8A8807D-C5B3-40CF-BF13-8EC3B58ECDE4}"/>
  <tableColumns count="4">
    <tableColumn id="1" xr3:uid="{95B4D8C5-CA16-4BB1-8A43-119AE9447328}" uniqueName="1" name="Customer_ID" queryTableFieldId="1" dataDxfId="60"/>
    <tableColumn id="2" xr3:uid="{0D53A2F2-86FB-4AD9-BF28-7DB99154D985}" uniqueName="2" name="Customer_Name" queryTableFieldId="2" dataDxfId="59"/>
    <tableColumn id="3" xr3:uid="{E14F5540-34BF-466C-99C7-D0DA5EB5262A}" uniqueName="3" name="City" queryTableFieldId="3" dataDxfId="58"/>
    <tableColumn id="4" xr3:uid="{4D3D0FD9-11DE-47D0-9ED4-90337FCBE7FB}" uniqueName="4" name="Region" queryTableFieldId="4" dataDxfId="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45D4ED0-5757-41C7-BDFE-D53C56FA63D8}" sourceName="[Sales].[Order_Date]">
  <pivotTables>
    <pivotTable tabId="4294967295" name="PivotChartTable9"/>
  </pivotTables>
  <state minimalRefreshVersion="6" lastRefreshVersion="6" pivotCacheId="2900411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7FE26E4-B0F0-42A1-A77D-BE2EA593E1F0}" cache="Timeline_Order_Date" caption="Order_Date" level="2" selectionLevel="2" scrollPosition="2026-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5" Type="http://schemas.microsoft.com/office/2011/relationships/timeline" Target="../timelines/timelin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8CE7-F62B-441B-A72F-6609BE8F3E06}">
  <dimension ref="A1:J46"/>
  <sheetViews>
    <sheetView workbookViewId="0">
      <selection activeCell="B85" sqref="B85:C96"/>
    </sheetView>
  </sheetViews>
  <sheetFormatPr defaultRowHeight="14.4" x14ac:dyDescent="0.3"/>
  <cols>
    <col min="1" max="1" width="10.77734375" bestFit="1" customWidth="1"/>
    <col min="2" max="2" width="12.5546875" bestFit="1" customWidth="1"/>
    <col min="3" max="3" width="9.88671875" bestFit="1" customWidth="1"/>
    <col min="4" max="4" width="12.6640625" bestFit="1" customWidth="1"/>
    <col min="5" max="6" width="10.5546875" bestFit="1" customWidth="1"/>
    <col min="7" max="7" width="15.44140625" bestFit="1" customWidth="1"/>
    <col min="8" max="8" width="14.77734375" bestFit="1" customWidth="1"/>
    <col min="9" max="9" width="7.88671875" bestFit="1" customWidth="1"/>
    <col min="10" max="10" width="16.88671875" customWidth="1"/>
  </cols>
  <sheetData>
    <row r="1" spans="1:10" x14ac:dyDescent="0.3">
      <c r="A1" t="s">
        <v>115</v>
      </c>
      <c r="B1" t="s">
        <v>94</v>
      </c>
      <c r="C1" t="s">
        <v>0</v>
      </c>
      <c r="D1" t="s">
        <v>52</v>
      </c>
      <c r="E1" t="s">
        <v>95</v>
      </c>
      <c r="F1" t="s">
        <v>96</v>
      </c>
      <c r="G1" t="s">
        <v>97</v>
      </c>
      <c r="H1" t="s">
        <v>98</v>
      </c>
      <c r="I1" t="s">
        <v>99</v>
      </c>
      <c r="J1" t="s">
        <v>100</v>
      </c>
    </row>
    <row r="2" spans="1:10" x14ac:dyDescent="0.3">
      <c r="A2" t="s">
        <v>208</v>
      </c>
      <c r="B2" s="1">
        <v>46111</v>
      </c>
      <c r="C2" t="s">
        <v>34</v>
      </c>
      <c r="D2" t="s">
        <v>57</v>
      </c>
      <c r="E2">
        <v>4</v>
      </c>
      <c r="F2">
        <v>0.05</v>
      </c>
      <c r="G2">
        <v>209000</v>
      </c>
      <c r="H2">
        <v>188000</v>
      </c>
      <c r="I2">
        <v>21000</v>
      </c>
      <c r="J2" t="s">
        <v>101</v>
      </c>
    </row>
    <row r="3" spans="1:10" x14ac:dyDescent="0.3">
      <c r="A3" t="s">
        <v>209</v>
      </c>
      <c r="B3" s="1">
        <v>46095</v>
      </c>
      <c r="C3" t="s">
        <v>46</v>
      </c>
      <c r="D3" t="s">
        <v>73</v>
      </c>
      <c r="E3">
        <v>3</v>
      </c>
      <c r="F3">
        <v>0.15</v>
      </c>
      <c r="G3">
        <v>30600</v>
      </c>
      <c r="H3">
        <v>27000</v>
      </c>
      <c r="I3">
        <v>3600</v>
      </c>
      <c r="J3" t="s">
        <v>102</v>
      </c>
    </row>
    <row r="4" spans="1:10" x14ac:dyDescent="0.3">
      <c r="A4" t="s">
        <v>210</v>
      </c>
      <c r="B4" s="1">
        <v>46111</v>
      </c>
      <c r="C4" t="s">
        <v>11</v>
      </c>
      <c r="D4" t="s">
        <v>75</v>
      </c>
      <c r="E4">
        <v>5</v>
      </c>
      <c r="F4">
        <v>0</v>
      </c>
      <c r="G4">
        <v>11000</v>
      </c>
      <c r="H4">
        <v>6500</v>
      </c>
      <c r="I4">
        <v>4500</v>
      </c>
      <c r="J4" t="s">
        <v>101</v>
      </c>
    </row>
    <row r="5" spans="1:10" x14ac:dyDescent="0.3">
      <c r="A5" t="s">
        <v>211</v>
      </c>
      <c r="B5" s="1">
        <v>46101</v>
      </c>
      <c r="C5" t="s">
        <v>4</v>
      </c>
      <c r="D5" t="s">
        <v>73</v>
      </c>
      <c r="E5">
        <v>4</v>
      </c>
      <c r="F5">
        <v>0.1</v>
      </c>
      <c r="G5">
        <v>43200</v>
      </c>
      <c r="H5">
        <v>36000</v>
      </c>
      <c r="I5">
        <v>7200</v>
      </c>
      <c r="J5" t="s">
        <v>103</v>
      </c>
    </row>
    <row r="6" spans="1:10" x14ac:dyDescent="0.3">
      <c r="A6" t="s">
        <v>212</v>
      </c>
      <c r="B6" s="1">
        <v>46086</v>
      </c>
      <c r="C6" t="s">
        <v>4</v>
      </c>
      <c r="D6" t="s">
        <v>90</v>
      </c>
      <c r="E6">
        <v>5</v>
      </c>
      <c r="F6">
        <v>0</v>
      </c>
      <c r="G6">
        <v>160000</v>
      </c>
      <c r="H6">
        <v>127500</v>
      </c>
      <c r="I6">
        <v>32500</v>
      </c>
      <c r="J6" t="s">
        <v>103</v>
      </c>
    </row>
    <row r="7" spans="1:10" x14ac:dyDescent="0.3">
      <c r="A7" t="s">
        <v>213</v>
      </c>
      <c r="B7" s="1">
        <v>46093</v>
      </c>
      <c r="C7" t="s">
        <v>48</v>
      </c>
      <c r="D7" t="s">
        <v>67</v>
      </c>
      <c r="E7">
        <v>7</v>
      </c>
      <c r="F7">
        <v>0</v>
      </c>
      <c r="G7">
        <v>126000</v>
      </c>
      <c r="H7">
        <v>101500</v>
      </c>
      <c r="I7">
        <v>24500</v>
      </c>
      <c r="J7" t="s">
        <v>101</v>
      </c>
    </row>
    <row r="8" spans="1:10" x14ac:dyDescent="0.3">
      <c r="A8" t="s">
        <v>214</v>
      </c>
      <c r="B8" s="1">
        <v>46097</v>
      </c>
      <c r="C8" t="s">
        <v>32</v>
      </c>
      <c r="D8" t="s">
        <v>84</v>
      </c>
      <c r="E8">
        <v>1</v>
      </c>
      <c r="F8">
        <v>0.15</v>
      </c>
      <c r="G8">
        <v>2720</v>
      </c>
      <c r="H8">
        <v>2400</v>
      </c>
      <c r="I8">
        <v>320</v>
      </c>
      <c r="J8" t="s">
        <v>102</v>
      </c>
    </row>
    <row r="9" spans="1:10" x14ac:dyDescent="0.3">
      <c r="A9" t="s">
        <v>215</v>
      </c>
      <c r="B9" s="1">
        <v>46107</v>
      </c>
      <c r="C9" t="s">
        <v>17</v>
      </c>
      <c r="D9" t="s">
        <v>57</v>
      </c>
      <c r="E9">
        <v>7</v>
      </c>
      <c r="F9">
        <v>0.1</v>
      </c>
      <c r="G9">
        <v>346500</v>
      </c>
      <c r="H9">
        <v>329000</v>
      </c>
      <c r="I9">
        <v>17500</v>
      </c>
      <c r="J9" t="s">
        <v>104</v>
      </c>
    </row>
    <row r="10" spans="1:10" x14ac:dyDescent="0.3">
      <c r="A10" t="s">
        <v>216</v>
      </c>
      <c r="B10" s="1">
        <v>46107</v>
      </c>
      <c r="C10" t="s">
        <v>34</v>
      </c>
      <c r="D10" t="s">
        <v>73</v>
      </c>
      <c r="E10">
        <v>5</v>
      </c>
      <c r="F10">
        <v>0.1</v>
      </c>
      <c r="G10">
        <v>54000</v>
      </c>
      <c r="H10">
        <v>45000</v>
      </c>
      <c r="I10">
        <v>9000</v>
      </c>
      <c r="J10" t="s">
        <v>103</v>
      </c>
    </row>
    <row r="11" spans="1:10" x14ac:dyDescent="0.3">
      <c r="A11" t="s">
        <v>217</v>
      </c>
      <c r="B11" s="1">
        <v>46097</v>
      </c>
      <c r="C11" t="s">
        <v>11</v>
      </c>
      <c r="D11" t="s">
        <v>87</v>
      </c>
      <c r="E11">
        <v>5</v>
      </c>
      <c r="F11">
        <v>0.1</v>
      </c>
      <c r="G11">
        <v>108000</v>
      </c>
      <c r="H11">
        <v>95000</v>
      </c>
      <c r="I11">
        <v>13000</v>
      </c>
      <c r="J11" t="s">
        <v>102</v>
      </c>
    </row>
    <row r="12" spans="1:10" x14ac:dyDescent="0.3">
      <c r="A12" t="s">
        <v>218</v>
      </c>
      <c r="B12" s="1">
        <v>46102</v>
      </c>
      <c r="C12" t="s">
        <v>4</v>
      </c>
      <c r="D12" t="s">
        <v>73</v>
      </c>
      <c r="E12">
        <v>2</v>
      </c>
      <c r="F12">
        <v>0.05</v>
      </c>
      <c r="G12">
        <v>22800</v>
      </c>
      <c r="H12">
        <v>18000</v>
      </c>
      <c r="I12">
        <v>4800</v>
      </c>
      <c r="J12" t="s">
        <v>102</v>
      </c>
    </row>
    <row r="13" spans="1:10" x14ac:dyDescent="0.3">
      <c r="A13" t="s">
        <v>219</v>
      </c>
      <c r="B13" s="1">
        <v>46088</v>
      </c>
      <c r="C13" t="s">
        <v>4</v>
      </c>
      <c r="D13" t="s">
        <v>77</v>
      </c>
      <c r="E13">
        <v>2</v>
      </c>
      <c r="F13">
        <v>0.15</v>
      </c>
      <c r="G13">
        <v>5950</v>
      </c>
      <c r="H13">
        <v>4400</v>
      </c>
      <c r="I13">
        <v>1550</v>
      </c>
      <c r="J13" t="s">
        <v>104</v>
      </c>
    </row>
    <row r="14" spans="1:10" x14ac:dyDescent="0.3">
      <c r="A14" t="s">
        <v>220</v>
      </c>
      <c r="B14" s="1">
        <v>46085</v>
      </c>
      <c r="C14" t="s">
        <v>25</v>
      </c>
      <c r="D14" t="s">
        <v>62</v>
      </c>
      <c r="E14">
        <v>7</v>
      </c>
      <c r="F14">
        <v>0.1</v>
      </c>
      <c r="G14">
        <v>7560</v>
      </c>
      <c r="H14">
        <v>4900</v>
      </c>
      <c r="I14">
        <v>2660</v>
      </c>
      <c r="J14" t="s">
        <v>103</v>
      </c>
    </row>
    <row r="15" spans="1:10" x14ac:dyDescent="0.3">
      <c r="A15" t="s">
        <v>221</v>
      </c>
      <c r="B15" s="1">
        <v>46082</v>
      </c>
      <c r="C15" t="s">
        <v>30</v>
      </c>
      <c r="D15" t="s">
        <v>77</v>
      </c>
      <c r="E15">
        <v>6</v>
      </c>
      <c r="F15">
        <v>0.05</v>
      </c>
      <c r="G15">
        <v>19950</v>
      </c>
      <c r="H15">
        <v>13200</v>
      </c>
      <c r="I15">
        <v>6750</v>
      </c>
      <c r="J15" t="s">
        <v>103</v>
      </c>
    </row>
    <row r="16" spans="1:10" x14ac:dyDescent="0.3">
      <c r="A16" t="s">
        <v>222</v>
      </c>
      <c r="B16" s="1">
        <v>46111</v>
      </c>
      <c r="C16" t="s">
        <v>32</v>
      </c>
      <c r="D16" t="s">
        <v>90</v>
      </c>
      <c r="E16">
        <v>7</v>
      </c>
      <c r="F16">
        <v>0</v>
      </c>
      <c r="G16">
        <v>224000</v>
      </c>
      <c r="H16">
        <v>178500</v>
      </c>
      <c r="I16">
        <v>45500</v>
      </c>
      <c r="J16" t="s">
        <v>102</v>
      </c>
    </row>
    <row r="17" spans="1:10" x14ac:dyDescent="0.3">
      <c r="A17" t="s">
        <v>223</v>
      </c>
      <c r="B17" s="1">
        <v>46111</v>
      </c>
      <c r="C17" t="s">
        <v>34</v>
      </c>
      <c r="D17" t="s">
        <v>57</v>
      </c>
      <c r="E17">
        <v>2</v>
      </c>
      <c r="F17">
        <v>0</v>
      </c>
      <c r="G17">
        <v>110000</v>
      </c>
      <c r="H17">
        <v>94000</v>
      </c>
      <c r="I17">
        <v>16000</v>
      </c>
      <c r="J17" t="s">
        <v>102</v>
      </c>
    </row>
    <row r="18" spans="1:10" x14ac:dyDescent="0.3">
      <c r="A18" t="s">
        <v>224</v>
      </c>
      <c r="B18" s="1">
        <v>46086</v>
      </c>
      <c r="C18" t="s">
        <v>36</v>
      </c>
      <c r="D18" t="s">
        <v>57</v>
      </c>
      <c r="E18">
        <v>5</v>
      </c>
      <c r="F18">
        <v>0.05</v>
      </c>
      <c r="G18">
        <v>261250</v>
      </c>
      <c r="H18">
        <v>235000</v>
      </c>
      <c r="I18">
        <v>26250</v>
      </c>
      <c r="J18" t="s">
        <v>104</v>
      </c>
    </row>
    <row r="19" spans="1:10" x14ac:dyDescent="0.3">
      <c r="A19" t="s">
        <v>225</v>
      </c>
      <c r="B19" s="1">
        <v>46104</v>
      </c>
      <c r="C19" t="s">
        <v>34</v>
      </c>
      <c r="D19" t="s">
        <v>90</v>
      </c>
      <c r="E19">
        <v>3</v>
      </c>
      <c r="F19">
        <v>0.05</v>
      </c>
      <c r="G19">
        <v>91200</v>
      </c>
      <c r="H19">
        <v>76500</v>
      </c>
      <c r="I19">
        <v>14700</v>
      </c>
      <c r="J19" t="s">
        <v>104</v>
      </c>
    </row>
    <row r="20" spans="1:10" x14ac:dyDescent="0.3">
      <c r="A20" t="s">
        <v>226</v>
      </c>
      <c r="B20" s="1">
        <v>46107</v>
      </c>
      <c r="C20" t="s">
        <v>38</v>
      </c>
      <c r="D20" t="s">
        <v>65</v>
      </c>
      <c r="E20">
        <v>7</v>
      </c>
      <c r="F20">
        <v>0.15</v>
      </c>
      <c r="G20">
        <v>4165</v>
      </c>
      <c r="H20">
        <v>2660</v>
      </c>
      <c r="I20">
        <v>1505</v>
      </c>
      <c r="J20" t="s">
        <v>103</v>
      </c>
    </row>
    <row r="21" spans="1:10" x14ac:dyDescent="0.3">
      <c r="A21" t="s">
        <v>227</v>
      </c>
      <c r="B21" s="1">
        <v>46091</v>
      </c>
      <c r="C21" t="s">
        <v>8</v>
      </c>
      <c r="D21" t="s">
        <v>77</v>
      </c>
      <c r="E21">
        <v>5</v>
      </c>
      <c r="F21">
        <v>0.15</v>
      </c>
      <c r="G21">
        <v>14875</v>
      </c>
      <c r="H21">
        <v>11000</v>
      </c>
      <c r="I21">
        <v>3875</v>
      </c>
      <c r="J21" t="s">
        <v>101</v>
      </c>
    </row>
    <row r="22" spans="1:10" x14ac:dyDescent="0.3">
      <c r="A22" t="s">
        <v>228</v>
      </c>
      <c r="B22" s="1">
        <v>46103</v>
      </c>
      <c r="C22" t="s">
        <v>48</v>
      </c>
      <c r="D22" t="s">
        <v>70</v>
      </c>
      <c r="E22">
        <v>3</v>
      </c>
      <c r="F22">
        <v>0</v>
      </c>
      <c r="G22">
        <v>25500</v>
      </c>
      <c r="H22">
        <v>19500</v>
      </c>
      <c r="I22">
        <v>6000</v>
      </c>
      <c r="J22" t="s">
        <v>103</v>
      </c>
    </row>
    <row r="23" spans="1:10" x14ac:dyDescent="0.3">
      <c r="A23" t="s">
        <v>229</v>
      </c>
      <c r="B23" s="1">
        <v>46086</v>
      </c>
      <c r="C23" t="s">
        <v>46</v>
      </c>
      <c r="D23" t="s">
        <v>87</v>
      </c>
      <c r="E23">
        <v>3</v>
      </c>
      <c r="F23">
        <v>0.1</v>
      </c>
      <c r="G23">
        <v>64800</v>
      </c>
      <c r="H23">
        <v>57000</v>
      </c>
      <c r="I23">
        <v>7800</v>
      </c>
      <c r="J23" t="s">
        <v>102</v>
      </c>
    </row>
    <row r="24" spans="1:10" x14ac:dyDescent="0.3">
      <c r="A24" t="s">
        <v>230</v>
      </c>
      <c r="B24" s="1">
        <v>46085</v>
      </c>
      <c r="C24" t="s">
        <v>11</v>
      </c>
      <c r="D24" t="s">
        <v>82</v>
      </c>
      <c r="E24">
        <v>2</v>
      </c>
      <c r="F24">
        <v>0</v>
      </c>
      <c r="G24">
        <v>3600</v>
      </c>
      <c r="H24">
        <v>2100</v>
      </c>
      <c r="I24">
        <v>1500</v>
      </c>
      <c r="J24" t="s">
        <v>103</v>
      </c>
    </row>
    <row r="25" spans="1:10" x14ac:dyDescent="0.3">
      <c r="A25" t="s">
        <v>231</v>
      </c>
      <c r="B25" s="1">
        <v>46083</v>
      </c>
      <c r="C25" t="s">
        <v>44</v>
      </c>
      <c r="D25" t="s">
        <v>62</v>
      </c>
      <c r="E25">
        <v>7</v>
      </c>
      <c r="F25">
        <v>0.1</v>
      </c>
      <c r="G25">
        <v>7560</v>
      </c>
      <c r="H25">
        <v>4900</v>
      </c>
      <c r="I25">
        <v>2660</v>
      </c>
      <c r="J25" t="s">
        <v>101</v>
      </c>
    </row>
    <row r="26" spans="1:10" x14ac:dyDescent="0.3">
      <c r="A26" t="s">
        <v>232</v>
      </c>
      <c r="B26" s="1">
        <v>46101</v>
      </c>
      <c r="C26" t="s">
        <v>25</v>
      </c>
      <c r="D26" t="s">
        <v>57</v>
      </c>
      <c r="E26">
        <v>4</v>
      </c>
      <c r="F26">
        <v>0.1</v>
      </c>
      <c r="G26">
        <v>198000</v>
      </c>
      <c r="H26">
        <v>188000</v>
      </c>
      <c r="I26">
        <v>10000</v>
      </c>
      <c r="J26" t="s">
        <v>104</v>
      </c>
    </row>
    <row r="27" spans="1:10" x14ac:dyDescent="0.3">
      <c r="A27" t="s">
        <v>233</v>
      </c>
      <c r="B27" s="1">
        <v>46112</v>
      </c>
      <c r="C27" t="s">
        <v>30</v>
      </c>
      <c r="D27" t="s">
        <v>65</v>
      </c>
      <c r="E27">
        <v>1</v>
      </c>
      <c r="F27">
        <v>0.15</v>
      </c>
      <c r="G27">
        <v>595</v>
      </c>
      <c r="H27">
        <v>380</v>
      </c>
      <c r="I27">
        <v>215</v>
      </c>
      <c r="J27" t="s">
        <v>101</v>
      </c>
    </row>
    <row r="28" spans="1:10" x14ac:dyDescent="0.3">
      <c r="A28" t="s">
        <v>234</v>
      </c>
      <c r="B28" s="1">
        <v>46091</v>
      </c>
      <c r="C28" t="s">
        <v>8</v>
      </c>
      <c r="D28" t="s">
        <v>84</v>
      </c>
      <c r="E28">
        <v>2</v>
      </c>
      <c r="F28">
        <v>0</v>
      </c>
      <c r="G28">
        <v>6400</v>
      </c>
      <c r="H28">
        <v>4800</v>
      </c>
      <c r="I28">
        <v>1600</v>
      </c>
      <c r="J28" t="s">
        <v>101</v>
      </c>
    </row>
    <row r="29" spans="1:10" x14ac:dyDescent="0.3">
      <c r="A29" t="s">
        <v>235</v>
      </c>
      <c r="B29" s="1">
        <v>46107</v>
      </c>
      <c r="C29" t="s">
        <v>48</v>
      </c>
      <c r="D29" t="s">
        <v>87</v>
      </c>
      <c r="E29">
        <v>2</v>
      </c>
      <c r="F29">
        <v>0</v>
      </c>
      <c r="G29">
        <v>48000</v>
      </c>
      <c r="H29">
        <v>38000</v>
      </c>
      <c r="I29">
        <v>10000</v>
      </c>
      <c r="J29" t="s">
        <v>101</v>
      </c>
    </row>
    <row r="30" spans="1:10" x14ac:dyDescent="0.3">
      <c r="A30" t="s">
        <v>236</v>
      </c>
      <c r="B30" s="1">
        <v>46100</v>
      </c>
      <c r="C30" t="s">
        <v>27</v>
      </c>
      <c r="D30" t="s">
        <v>77</v>
      </c>
      <c r="E30">
        <v>4</v>
      </c>
      <c r="F30">
        <v>0.05</v>
      </c>
      <c r="G30">
        <v>13300</v>
      </c>
      <c r="H30">
        <v>8800</v>
      </c>
      <c r="I30">
        <v>4500</v>
      </c>
      <c r="J30" t="s">
        <v>104</v>
      </c>
    </row>
    <row r="31" spans="1:10" x14ac:dyDescent="0.3">
      <c r="A31" t="s">
        <v>237</v>
      </c>
      <c r="B31" s="1">
        <v>46107</v>
      </c>
      <c r="C31" t="s">
        <v>23</v>
      </c>
      <c r="D31" t="s">
        <v>62</v>
      </c>
      <c r="E31">
        <v>1</v>
      </c>
      <c r="F31">
        <v>0.15</v>
      </c>
      <c r="G31">
        <v>1020</v>
      </c>
      <c r="H31">
        <v>700</v>
      </c>
      <c r="I31">
        <v>320</v>
      </c>
      <c r="J31" t="s">
        <v>101</v>
      </c>
    </row>
    <row r="32" spans="1:10" x14ac:dyDescent="0.3">
      <c r="A32" t="s">
        <v>238</v>
      </c>
      <c r="B32" s="1">
        <v>46082</v>
      </c>
      <c r="C32" t="s">
        <v>14</v>
      </c>
      <c r="D32" t="s">
        <v>84</v>
      </c>
      <c r="E32">
        <v>5</v>
      </c>
      <c r="F32">
        <v>0.1</v>
      </c>
      <c r="G32">
        <v>14400</v>
      </c>
      <c r="H32">
        <v>12000</v>
      </c>
      <c r="I32">
        <v>2400</v>
      </c>
      <c r="J32" t="s">
        <v>101</v>
      </c>
    </row>
    <row r="33" spans="1:10" x14ac:dyDescent="0.3">
      <c r="A33" t="s">
        <v>239</v>
      </c>
      <c r="B33" s="1">
        <v>46105</v>
      </c>
      <c r="C33" t="s">
        <v>46</v>
      </c>
      <c r="D33" t="s">
        <v>77</v>
      </c>
      <c r="E33">
        <v>6</v>
      </c>
      <c r="F33">
        <v>0</v>
      </c>
      <c r="G33">
        <v>21000</v>
      </c>
      <c r="H33">
        <v>13200</v>
      </c>
      <c r="I33">
        <v>7800</v>
      </c>
      <c r="J33" t="s">
        <v>101</v>
      </c>
    </row>
    <row r="34" spans="1:10" x14ac:dyDescent="0.3">
      <c r="A34" t="s">
        <v>240</v>
      </c>
      <c r="B34" s="1">
        <v>46086</v>
      </c>
      <c r="C34" t="s">
        <v>36</v>
      </c>
      <c r="D34" t="s">
        <v>73</v>
      </c>
      <c r="E34">
        <v>7</v>
      </c>
      <c r="F34">
        <v>0.1</v>
      </c>
      <c r="G34">
        <v>75600</v>
      </c>
      <c r="H34">
        <v>63000</v>
      </c>
      <c r="I34">
        <v>12600</v>
      </c>
      <c r="J34" t="s">
        <v>102</v>
      </c>
    </row>
    <row r="35" spans="1:10" x14ac:dyDescent="0.3">
      <c r="A35" t="s">
        <v>241</v>
      </c>
      <c r="B35" s="1">
        <v>46094</v>
      </c>
      <c r="C35" t="s">
        <v>32</v>
      </c>
      <c r="D35" t="s">
        <v>84</v>
      </c>
      <c r="E35">
        <v>6</v>
      </c>
      <c r="F35">
        <v>0</v>
      </c>
      <c r="G35">
        <v>19200</v>
      </c>
      <c r="H35">
        <v>14400</v>
      </c>
      <c r="I35">
        <v>4800</v>
      </c>
      <c r="J35" t="s">
        <v>101</v>
      </c>
    </row>
    <row r="36" spans="1:10" x14ac:dyDescent="0.3">
      <c r="A36" t="s">
        <v>242</v>
      </c>
      <c r="B36" s="1">
        <v>46085</v>
      </c>
      <c r="C36" t="s">
        <v>14</v>
      </c>
      <c r="D36" t="s">
        <v>90</v>
      </c>
      <c r="E36">
        <v>5</v>
      </c>
      <c r="F36">
        <v>0</v>
      </c>
      <c r="G36">
        <v>160000</v>
      </c>
      <c r="H36">
        <v>127500</v>
      </c>
      <c r="I36">
        <v>32500</v>
      </c>
      <c r="J36" t="s">
        <v>104</v>
      </c>
    </row>
    <row r="37" spans="1:10" x14ac:dyDescent="0.3">
      <c r="A37" t="s">
        <v>243</v>
      </c>
      <c r="B37" s="1">
        <v>46097</v>
      </c>
      <c r="C37" t="s">
        <v>14</v>
      </c>
      <c r="D37" t="s">
        <v>92</v>
      </c>
      <c r="E37">
        <v>2</v>
      </c>
      <c r="F37">
        <v>0</v>
      </c>
      <c r="G37">
        <v>3600</v>
      </c>
      <c r="H37">
        <v>2200</v>
      </c>
      <c r="I37">
        <v>1400</v>
      </c>
      <c r="J37" t="s">
        <v>101</v>
      </c>
    </row>
    <row r="38" spans="1:10" x14ac:dyDescent="0.3">
      <c r="A38" t="s">
        <v>244</v>
      </c>
      <c r="B38" s="1">
        <v>46105</v>
      </c>
      <c r="C38" t="s">
        <v>30</v>
      </c>
      <c r="D38" t="s">
        <v>65</v>
      </c>
      <c r="E38">
        <v>1</v>
      </c>
      <c r="F38">
        <v>0.15</v>
      </c>
      <c r="G38">
        <v>595</v>
      </c>
      <c r="H38">
        <v>380</v>
      </c>
      <c r="I38">
        <v>215</v>
      </c>
      <c r="J38" t="s">
        <v>101</v>
      </c>
    </row>
    <row r="39" spans="1:10" x14ac:dyDescent="0.3">
      <c r="A39" t="s">
        <v>245</v>
      </c>
      <c r="B39" s="1">
        <v>46097</v>
      </c>
      <c r="C39" t="s">
        <v>17</v>
      </c>
      <c r="D39" t="s">
        <v>62</v>
      </c>
      <c r="E39">
        <v>2</v>
      </c>
      <c r="F39">
        <v>0</v>
      </c>
      <c r="G39">
        <v>2400</v>
      </c>
      <c r="H39">
        <v>1400</v>
      </c>
      <c r="I39">
        <v>1000</v>
      </c>
      <c r="J39" t="s">
        <v>104</v>
      </c>
    </row>
    <row r="40" spans="1:10" x14ac:dyDescent="0.3">
      <c r="A40" t="s">
        <v>246</v>
      </c>
      <c r="B40" s="1">
        <v>46104</v>
      </c>
      <c r="C40" t="s">
        <v>27</v>
      </c>
      <c r="D40" t="s">
        <v>79</v>
      </c>
      <c r="E40">
        <v>3</v>
      </c>
      <c r="F40">
        <v>0.1</v>
      </c>
      <c r="G40">
        <v>17550</v>
      </c>
      <c r="H40">
        <v>14400</v>
      </c>
      <c r="I40">
        <v>3150</v>
      </c>
      <c r="J40" t="s">
        <v>101</v>
      </c>
    </row>
    <row r="41" spans="1:10" x14ac:dyDescent="0.3">
      <c r="A41" t="s">
        <v>247</v>
      </c>
      <c r="B41" s="1">
        <v>46083</v>
      </c>
      <c r="C41" t="s">
        <v>11</v>
      </c>
      <c r="D41" t="s">
        <v>92</v>
      </c>
      <c r="E41">
        <v>2</v>
      </c>
      <c r="F41">
        <v>0.15</v>
      </c>
      <c r="G41">
        <v>3060</v>
      </c>
      <c r="H41">
        <v>2200</v>
      </c>
      <c r="I41">
        <v>860</v>
      </c>
      <c r="J41" t="s">
        <v>104</v>
      </c>
    </row>
    <row r="42" spans="1:10" x14ac:dyDescent="0.3">
      <c r="A42" t="s">
        <v>248</v>
      </c>
      <c r="B42" s="1">
        <v>46098</v>
      </c>
      <c r="C42" t="s">
        <v>44</v>
      </c>
      <c r="D42" t="s">
        <v>67</v>
      </c>
      <c r="E42">
        <v>2</v>
      </c>
      <c r="F42">
        <v>0.15</v>
      </c>
      <c r="G42">
        <v>30600</v>
      </c>
      <c r="H42">
        <v>29000</v>
      </c>
      <c r="I42">
        <v>1600</v>
      </c>
      <c r="J42" t="s">
        <v>101</v>
      </c>
    </row>
    <row r="43" spans="1:10" x14ac:dyDescent="0.3">
      <c r="A43" t="s">
        <v>249</v>
      </c>
      <c r="B43" s="1">
        <v>46109</v>
      </c>
      <c r="C43" t="s">
        <v>11</v>
      </c>
      <c r="D43" t="s">
        <v>67</v>
      </c>
      <c r="E43">
        <v>5</v>
      </c>
      <c r="F43">
        <v>0.15</v>
      </c>
      <c r="G43">
        <v>76500</v>
      </c>
      <c r="H43">
        <v>72500</v>
      </c>
      <c r="I43">
        <v>4000</v>
      </c>
      <c r="J43" t="s">
        <v>104</v>
      </c>
    </row>
    <row r="44" spans="1:10" x14ac:dyDescent="0.3">
      <c r="A44" t="s">
        <v>250</v>
      </c>
      <c r="B44" s="1">
        <v>46108</v>
      </c>
      <c r="C44" t="s">
        <v>42</v>
      </c>
      <c r="D44" t="s">
        <v>62</v>
      </c>
      <c r="E44">
        <v>5</v>
      </c>
      <c r="F44">
        <v>0.15</v>
      </c>
      <c r="G44">
        <v>5100</v>
      </c>
      <c r="H44">
        <v>3500</v>
      </c>
      <c r="I44">
        <v>1600</v>
      </c>
      <c r="J44" t="s">
        <v>101</v>
      </c>
    </row>
    <row r="45" spans="1:10" x14ac:dyDescent="0.3">
      <c r="A45" t="s">
        <v>251</v>
      </c>
      <c r="B45" s="1">
        <v>46101</v>
      </c>
      <c r="C45" t="s">
        <v>14</v>
      </c>
      <c r="D45" t="s">
        <v>84</v>
      </c>
      <c r="E45">
        <v>5</v>
      </c>
      <c r="F45">
        <v>0.15</v>
      </c>
      <c r="G45">
        <v>13600</v>
      </c>
      <c r="H45">
        <v>12000</v>
      </c>
      <c r="I45">
        <v>1600</v>
      </c>
      <c r="J45" t="s">
        <v>101</v>
      </c>
    </row>
    <row r="46" spans="1:10" x14ac:dyDescent="0.3">
      <c r="A46" t="s">
        <v>252</v>
      </c>
      <c r="B46" s="1">
        <v>46105</v>
      </c>
      <c r="C46" t="s">
        <v>46</v>
      </c>
      <c r="D46" t="s">
        <v>77</v>
      </c>
      <c r="E46">
        <v>6</v>
      </c>
      <c r="F46">
        <v>0.05</v>
      </c>
      <c r="G46">
        <v>19950</v>
      </c>
      <c r="H46">
        <v>13200</v>
      </c>
      <c r="I46">
        <v>6750</v>
      </c>
      <c r="J46" t="s">
        <v>102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BE7E-4326-4F55-B91C-C161023035B7}">
  <dimension ref="A1:J46"/>
  <sheetViews>
    <sheetView workbookViewId="0"/>
  </sheetViews>
  <sheetFormatPr defaultRowHeight="14.4" x14ac:dyDescent="0.3"/>
  <cols>
    <col min="1" max="1" width="10.77734375" bestFit="1" customWidth="1"/>
    <col min="2" max="2" width="12.88671875" bestFit="1" customWidth="1"/>
    <col min="3" max="3" width="14.109375" bestFit="1" customWidth="1"/>
    <col min="4" max="4" width="12.6640625" bestFit="1" customWidth="1"/>
    <col min="5" max="6" width="10.5546875" bestFit="1" customWidth="1"/>
    <col min="7" max="7" width="15.44140625" bestFit="1" customWidth="1"/>
    <col min="8" max="8" width="14.77734375" bestFit="1" customWidth="1"/>
    <col min="9" max="9" width="7.88671875" customWidth="1"/>
    <col min="10" max="11" width="16.88671875" bestFit="1" customWidth="1"/>
  </cols>
  <sheetData>
    <row r="1" spans="1:10" x14ac:dyDescent="0.3">
      <c r="A1" t="s">
        <v>115</v>
      </c>
      <c r="B1" t="s">
        <v>94</v>
      </c>
      <c r="C1" t="s">
        <v>0</v>
      </c>
      <c r="D1" t="s">
        <v>52</v>
      </c>
      <c r="E1" t="s">
        <v>95</v>
      </c>
      <c r="F1" t="s">
        <v>96</v>
      </c>
      <c r="G1" t="s">
        <v>97</v>
      </c>
      <c r="H1" t="s">
        <v>98</v>
      </c>
      <c r="I1" t="s">
        <v>99</v>
      </c>
      <c r="J1" t="s">
        <v>100</v>
      </c>
    </row>
    <row r="2" spans="1:10" x14ac:dyDescent="0.3">
      <c r="A2" t="s">
        <v>161</v>
      </c>
      <c r="B2" s="1">
        <v>46029</v>
      </c>
      <c r="C2" t="s">
        <v>40</v>
      </c>
      <c r="D2" t="s">
        <v>67</v>
      </c>
      <c r="E2">
        <v>1</v>
      </c>
      <c r="F2">
        <v>0.15</v>
      </c>
      <c r="G2">
        <v>15300</v>
      </c>
      <c r="H2">
        <v>14500</v>
      </c>
      <c r="I2">
        <v>800</v>
      </c>
      <c r="J2" t="s">
        <v>103</v>
      </c>
    </row>
    <row r="3" spans="1:10" x14ac:dyDescent="0.3">
      <c r="A3" t="s">
        <v>162</v>
      </c>
      <c r="B3" s="1">
        <v>46042</v>
      </c>
      <c r="C3" t="s">
        <v>40</v>
      </c>
      <c r="D3" t="s">
        <v>87</v>
      </c>
      <c r="E3">
        <v>7</v>
      </c>
      <c r="F3">
        <v>0.1</v>
      </c>
      <c r="G3">
        <v>151200</v>
      </c>
      <c r="H3">
        <v>133000</v>
      </c>
      <c r="I3">
        <v>18200</v>
      </c>
      <c r="J3" t="s">
        <v>102</v>
      </c>
    </row>
    <row r="4" spans="1:10" x14ac:dyDescent="0.3">
      <c r="A4" t="s">
        <v>163</v>
      </c>
      <c r="B4" s="1">
        <v>46051</v>
      </c>
      <c r="C4" t="s">
        <v>48</v>
      </c>
      <c r="D4" t="s">
        <v>60</v>
      </c>
      <c r="E4">
        <v>7</v>
      </c>
      <c r="F4">
        <v>0.15</v>
      </c>
      <c r="G4">
        <v>83300</v>
      </c>
      <c r="H4">
        <v>73500</v>
      </c>
      <c r="I4">
        <v>9800</v>
      </c>
      <c r="J4" t="s">
        <v>102</v>
      </c>
    </row>
    <row r="5" spans="1:10" x14ac:dyDescent="0.3">
      <c r="A5" t="s">
        <v>164</v>
      </c>
      <c r="B5" s="1">
        <v>46037</v>
      </c>
      <c r="C5" t="s">
        <v>34</v>
      </c>
      <c r="D5" t="s">
        <v>92</v>
      </c>
      <c r="E5">
        <v>6</v>
      </c>
      <c r="F5">
        <v>0.05</v>
      </c>
      <c r="G5">
        <v>10260</v>
      </c>
      <c r="H5">
        <v>6600</v>
      </c>
      <c r="I5">
        <v>3660</v>
      </c>
      <c r="J5" t="s">
        <v>165</v>
      </c>
    </row>
    <row r="6" spans="1:10" x14ac:dyDescent="0.3">
      <c r="A6" t="s">
        <v>166</v>
      </c>
      <c r="B6" s="1">
        <v>46033</v>
      </c>
      <c r="C6" t="s">
        <v>50</v>
      </c>
      <c r="D6" t="s">
        <v>67</v>
      </c>
      <c r="E6">
        <v>5</v>
      </c>
      <c r="F6">
        <v>0.05</v>
      </c>
      <c r="G6">
        <v>85500</v>
      </c>
      <c r="H6">
        <v>72500</v>
      </c>
      <c r="I6">
        <v>13000</v>
      </c>
      <c r="J6" t="s">
        <v>101</v>
      </c>
    </row>
    <row r="7" spans="1:10" x14ac:dyDescent="0.3">
      <c r="A7" t="s">
        <v>167</v>
      </c>
      <c r="B7" s="1">
        <v>46030</v>
      </c>
      <c r="C7" t="s">
        <v>11</v>
      </c>
      <c r="D7" t="s">
        <v>75</v>
      </c>
      <c r="E7">
        <v>3</v>
      </c>
      <c r="F7">
        <v>0.1</v>
      </c>
      <c r="G7">
        <v>5940</v>
      </c>
      <c r="H7">
        <v>3900</v>
      </c>
      <c r="I7">
        <v>2040</v>
      </c>
      <c r="J7" t="s">
        <v>102</v>
      </c>
    </row>
    <row r="8" spans="1:10" x14ac:dyDescent="0.3">
      <c r="A8" t="s">
        <v>168</v>
      </c>
      <c r="B8" s="1">
        <v>46051</v>
      </c>
      <c r="C8" t="s">
        <v>17</v>
      </c>
      <c r="D8" t="s">
        <v>79</v>
      </c>
      <c r="E8">
        <v>4</v>
      </c>
      <c r="F8">
        <v>0</v>
      </c>
      <c r="G8">
        <v>26000</v>
      </c>
      <c r="H8">
        <v>19200</v>
      </c>
      <c r="I8">
        <v>6800</v>
      </c>
      <c r="J8" t="s">
        <v>103</v>
      </c>
    </row>
    <row r="9" spans="1:10" x14ac:dyDescent="0.3">
      <c r="A9" t="s">
        <v>169</v>
      </c>
      <c r="B9" s="1">
        <v>46043</v>
      </c>
      <c r="C9" t="s">
        <v>48</v>
      </c>
      <c r="D9" t="s">
        <v>77</v>
      </c>
      <c r="E9">
        <v>6</v>
      </c>
      <c r="F9">
        <v>0</v>
      </c>
      <c r="G9">
        <v>21000</v>
      </c>
      <c r="H9">
        <v>13200</v>
      </c>
      <c r="I9">
        <v>7800</v>
      </c>
      <c r="J9" t="s">
        <v>102</v>
      </c>
    </row>
    <row r="10" spans="1:10" x14ac:dyDescent="0.3">
      <c r="A10" t="s">
        <v>170</v>
      </c>
      <c r="B10" s="1">
        <v>46029</v>
      </c>
      <c r="C10" t="s">
        <v>23</v>
      </c>
      <c r="D10" t="s">
        <v>84</v>
      </c>
      <c r="E10">
        <v>3</v>
      </c>
      <c r="F10">
        <v>0.15</v>
      </c>
      <c r="G10">
        <v>8160</v>
      </c>
      <c r="H10">
        <v>7200</v>
      </c>
      <c r="I10">
        <v>960</v>
      </c>
      <c r="J10" t="s">
        <v>171</v>
      </c>
    </row>
    <row r="11" spans="1:10" x14ac:dyDescent="0.3">
      <c r="A11" t="s">
        <v>172</v>
      </c>
      <c r="B11" s="1">
        <v>46048</v>
      </c>
      <c r="C11" t="s">
        <v>27</v>
      </c>
      <c r="D11" t="s">
        <v>84</v>
      </c>
      <c r="E11">
        <v>3</v>
      </c>
      <c r="F11">
        <v>0</v>
      </c>
      <c r="G11">
        <v>9600</v>
      </c>
      <c r="H11">
        <v>7200</v>
      </c>
      <c r="I11">
        <v>2400</v>
      </c>
      <c r="J11" t="s">
        <v>104</v>
      </c>
    </row>
    <row r="12" spans="1:10" x14ac:dyDescent="0.3">
      <c r="A12" t="s">
        <v>173</v>
      </c>
      <c r="B12" s="1">
        <v>46041</v>
      </c>
      <c r="C12" t="s">
        <v>23</v>
      </c>
      <c r="D12" t="s">
        <v>84</v>
      </c>
      <c r="E12">
        <v>1</v>
      </c>
      <c r="F12">
        <v>0.15</v>
      </c>
      <c r="G12">
        <v>2720</v>
      </c>
      <c r="H12">
        <v>2400</v>
      </c>
      <c r="I12">
        <v>320</v>
      </c>
      <c r="J12" t="s">
        <v>101</v>
      </c>
    </row>
    <row r="13" spans="1:10" x14ac:dyDescent="0.3">
      <c r="A13" t="s">
        <v>174</v>
      </c>
      <c r="B13" s="1">
        <v>46045</v>
      </c>
      <c r="C13" t="s">
        <v>46</v>
      </c>
      <c r="D13" t="s">
        <v>87</v>
      </c>
      <c r="E13">
        <v>3</v>
      </c>
      <c r="F13">
        <v>0.1</v>
      </c>
      <c r="G13">
        <v>64800</v>
      </c>
      <c r="H13">
        <v>57000</v>
      </c>
      <c r="I13">
        <v>7800</v>
      </c>
      <c r="J13" t="s">
        <v>104</v>
      </c>
    </row>
    <row r="14" spans="1:10" x14ac:dyDescent="0.3">
      <c r="A14" t="s">
        <v>175</v>
      </c>
      <c r="B14" s="1">
        <v>46033</v>
      </c>
      <c r="C14" t="s">
        <v>14</v>
      </c>
      <c r="D14" t="s">
        <v>77</v>
      </c>
      <c r="E14">
        <v>5</v>
      </c>
      <c r="F14">
        <v>0.1</v>
      </c>
      <c r="G14">
        <v>15750</v>
      </c>
      <c r="H14">
        <v>11000</v>
      </c>
      <c r="I14">
        <v>4750</v>
      </c>
      <c r="J14" t="s">
        <v>103</v>
      </c>
    </row>
    <row r="15" spans="1:10" x14ac:dyDescent="0.3">
      <c r="A15" t="s">
        <v>176</v>
      </c>
      <c r="B15" s="1">
        <v>46033</v>
      </c>
      <c r="C15" t="s">
        <v>38</v>
      </c>
      <c r="D15" t="s">
        <v>87</v>
      </c>
      <c r="E15">
        <v>7</v>
      </c>
      <c r="F15">
        <v>0.1</v>
      </c>
      <c r="G15">
        <v>151200</v>
      </c>
      <c r="H15">
        <v>133000</v>
      </c>
      <c r="I15">
        <v>18200</v>
      </c>
      <c r="J15" t="s">
        <v>102</v>
      </c>
    </row>
    <row r="16" spans="1:10" x14ac:dyDescent="0.3">
      <c r="A16" t="s">
        <v>177</v>
      </c>
      <c r="B16" s="1">
        <v>46046</v>
      </c>
      <c r="C16" t="s">
        <v>46</v>
      </c>
      <c r="D16" t="s">
        <v>92</v>
      </c>
      <c r="E16">
        <v>6</v>
      </c>
      <c r="F16">
        <v>0.1</v>
      </c>
      <c r="G16">
        <v>9720</v>
      </c>
      <c r="H16">
        <v>6600</v>
      </c>
      <c r="I16">
        <v>3120</v>
      </c>
      <c r="J16" t="s">
        <v>101</v>
      </c>
    </row>
    <row r="17" spans="1:10" x14ac:dyDescent="0.3">
      <c r="A17" t="s">
        <v>178</v>
      </c>
      <c r="B17" s="1">
        <v>46043</v>
      </c>
      <c r="C17" t="s">
        <v>27</v>
      </c>
      <c r="D17" t="s">
        <v>87</v>
      </c>
      <c r="E17">
        <v>3</v>
      </c>
      <c r="F17">
        <v>0.1</v>
      </c>
      <c r="G17">
        <v>64800</v>
      </c>
      <c r="H17">
        <v>57000</v>
      </c>
      <c r="I17">
        <v>7800</v>
      </c>
      <c r="J17" t="s">
        <v>102</v>
      </c>
    </row>
    <row r="18" spans="1:10" x14ac:dyDescent="0.3">
      <c r="A18" t="s">
        <v>179</v>
      </c>
      <c r="B18" s="1">
        <v>46026</v>
      </c>
      <c r="C18" t="s">
        <v>8</v>
      </c>
      <c r="D18" t="s">
        <v>57</v>
      </c>
      <c r="E18">
        <v>1</v>
      </c>
      <c r="F18">
        <v>0.05</v>
      </c>
      <c r="G18">
        <v>52250</v>
      </c>
      <c r="H18">
        <v>47000</v>
      </c>
      <c r="I18">
        <v>5250</v>
      </c>
      <c r="J18" t="s">
        <v>102</v>
      </c>
    </row>
    <row r="19" spans="1:10" x14ac:dyDescent="0.3">
      <c r="A19" t="s">
        <v>180</v>
      </c>
      <c r="B19" s="1">
        <v>46030</v>
      </c>
      <c r="C19" t="s">
        <v>50</v>
      </c>
      <c r="D19" t="s">
        <v>77</v>
      </c>
      <c r="E19">
        <v>5</v>
      </c>
      <c r="F19">
        <v>0</v>
      </c>
      <c r="G19">
        <v>17500</v>
      </c>
      <c r="H19">
        <v>11000</v>
      </c>
      <c r="I19">
        <v>6500</v>
      </c>
      <c r="J19" t="s">
        <v>103</v>
      </c>
    </row>
    <row r="20" spans="1:10" x14ac:dyDescent="0.3">
      <c r="A20" t="s">
        <v>181</v>
      </c>
      <c r="B20" s="1">
        <v>46046</v>
      </c>
      <c r="C20" t="s">
        <v>40</v>
      </c>
      <c r="D20" t="s">
        <v>73</v>
      </c>
      <c r="E20">
        <v>2</v>
      </c>
      <c r="F20">
        <v>0.1</v>
      </c>
      <c r="G20">
        <v>21600</v>
      </c>
      <c r="H20">
        <v>18000</v>
      </c>
      <c r="I20">
        <v>3600</v>
      </c>
      <c r="J20" t="s">
        <v>104</v>
      </c>
    </row>
    <row r="21" spans="1:10" x14ac:dyDescent="0.3">
      <c r="A21" t="s">
        <v>182</v>
      </c>
      <c r="B21" s="1">
        <v>46025</v>
      </c>
      <c r="C21" t="s">
        <v>23</v>
      </c>
      <c r="D21" t="s">
        <v>77</v>
      </c>
      <c r="E21">
        <v>7</v>
      </c>
      <c r="F21">
        <v>0</v>
      </c>
      <c r="G21">
        <v>24500</v>
      </c>
      <c r="H21">
        <v>15400</v>
      </c>
      <c r="I21">
        <v>9100</v>
      </c>
      <c r="J21" t="s">
        <v>104</v>
      </c>
    </row>
    <row r="22" spans="1:10" x14ac:dyDescent="0.3">
      <c r="A22" t="s">
        <v>183</v>
      </c>
      <c r="B22" s="1">
        <v>46044</v>
      </c>
      <c r="C22" t="s">
        <v>34</v>
      </c>
      <c r="D22" t="s">
        <v>75</v>
      </c>
      <c r="E22">
        <v>7</v>
      </c>
      <c r="F22">
        <v>0</v>
      </c>
      <c r="G22">
        <v>15400</v>
      </c>
      <c r="H22">
        <v>9100</v>
      </c>
      <c r="I22">
        <v>6300</v>
      </c>
      <c r="J22" t="s">
        <v>102</v>
      </c>
    </row>
    <row r="23" spans="1:10" x14ac:dyDescent="0.3">
      <c r="A23" t="s">
        <v>184</v>
      </c>
      <c r="B23" s="1">
        <v>46043</v>
      </c>
      <c r="C23" t="s">
        <v>25</v>
      </c>
      <c r="D23" t="s">
        <v>57</v>
      </c>
      <c r="E23">
        <v>6</v>
      </c>
      <c r="F23">
        <v>0</v>
      </c>
      <c r="G23">
        <v>330000</v>
      </c>
      <c r="H23">
        <v>282000</v>
      </c>
      <c r="I23">
        <v>48000</v>
      </c>
      <c r="J23" t="s">
        <v>101</v>
      </c>
    </row>
    <row r="24" spans="1:10" x14ac:dyDescent="0.3">
      <c r="A24" t="s">
        <v>185</v>
      </c>
      <c r="B24" s="1">
        <v>46024</v>
      </c>
      <c r="C24" t="s">
        <v>40</v>
      </c>
      <c r="D24" t="s">
        <v>84</v>
      </c>
      <c r="E24">
        <v>7</v>
      </c>
      <c r="F24">
        <v>0</v>
      </c>
      <c r="G24">
        <v>22400</v>
      </c>
      <c r="H24">
        <v>16800</v>
      </c>
      <c r="I24">
        <v>5600</v>
      </c>
      <c r="J24" t="s">
        <v>104</v>
      </c>
    </row>
    <row r="25" spans="1:10" x14ac:dyDescent="0.3">
      <c r="A25" t="s">
        <v>186</v>
      </c>
      <c r="B25" s="1">
        <v>46046</v>
      </c>
      <c r="C25" t="s">
        <v>11</v>
      </c>
      <c r="D25" t="s">
        <v>75</v>
      </c>
      <c r="E25">
        <v>3</v>
      </c>
      <c r="F25">
        <v>0.05</v>
      </c>
      <c r="G25">
        <v>6270</v>
      </c>
      <c r="H25">
        <v>3900</v>
      </c>
      <c r="I25">
        <v>2370</v>
      </c>
      <c r="J25" t="s">
        <v>101</v>
      </c>
    </row>
    <row r="26" spans="1:10" x14ac:dyDescent="0.3">
      <c r="A26" t="s">
        <v>187</v>
      </c>
      <c r="B26" s="1">
        <v>46034</v>
      </c>
      <c r="C26" t="s">
        <v>38</v>
      </c>
      <c r="D26" t="s">
        <v>75</v>
      </c>
      <c r="E26">
        <v>1</v>
      </c>
      <c r="F26">
        <v>0</v>
      </c>
      <c r="G26">
        <v>2200</v>
      </c>
      <c r="H26">
        <v>1300</v>
      </c>
      <c r="I26">
        <v>900</v>
      </c>
      <c r="J26" t="s">
        <v>104</v>
      </c>
    </row>
    <row r="27" spans="1:10" x14ac:dyDescent="0.3">
      <c r="A27" t="s">
        <v>188</v>
      </c>
      <c r="B27" s="1">
        <v>46052</v>
      </c>
      <c r="C27" t="s">
        <v>44</v>
      </c>
      <c r="D27" t="s">
        <v>92</v>
      </c>
      <c r="E27">
        <v>7</v>
      </c>
      <c r="F27">
        <v>0.1</v>
      </c>
      <c r="G27">
        <v>11340</v>
      </c>
      <c r="H27">
        <v>7700</v>
      </c>
      <c r="I27">
        <v>3640</v>
      </c>
      <c r="J27" t="s">
        <v>101</v>
      </c>
    </row>
    <row r="28" spans="1:10" x14ac:dyDescent="0.3">
      <c r="A28" t="s">
        <v>189</v>
      </c>
      <c r="B28" s="1">
        <v>46028</v>
      </c>
      <c r="C28" t="s">
        <v>14</v>
      </c>
      <c r="D28" t="s">
        <v>82</v>
      </c>
      <c r="E28">
        <v>7</v>
      </c>
      <c r="F28">
        <v>0.15</v>
      </c>
      <c r="G28">
        <v>10710</v>
      </c>
      <c r="H28">
        <v>7350</v>
      </c>
      <c r="I28">
        <v>3360</v>
      </c>
      <c r="J28" t="s">
        <v>103</v>
      </c>
    </row>
    <row r="29" spans="1:10" x14ac:dyDescent="0.3">
      <c r="A29" t="s">
        <v>190</v>
      </c>
      <c r="B29" s="1">
        <v>46024</v>
      </c>
      <c r="C29" t="s">
        <v>46</v>
      </c>
      <c r="D29" t="s">
        <v>62</v>
      </c>
      <c r="E29">
        <v>2</v>
      </c>
      <c r="F29">
        <v>0</v>
      </c>
      <c r="G29">
        <v>2400</v>
      </c>
      <c r="H29">
        <v>1400</v>
      </c>
      <c r="I29">
        <v>1000</v>
      </c>
      <c r="J29" t="s">
        <v>101</v>
      </c>
    </row>
    <row r="30" spans="1:10" x14ac:dyDescent="0.3">
      <c r="A30" t="s">
        <v>191</v>
      </c>
      <c r="B30" s="1">
        <v>46050</v>
      </c>
      <c r="C30" t="s">
        <v>25</v>
      </c>
      <c r="D30" t="s">
        <v>57</v>
      </c>
      <c r="E30">
        <v>2</v>
      </c>
      <c r="F30">
        <v>0.05</v>
      </c>
      <c r="G30">
        <v>104500</v>
      </c>
      <c r="H30">
        <v>94000</v>
      </c>
      <c r="I30">
        <v>10500</v>
      </c>
      <c r="J30" t="s">
        <v>103</v>
      </c>
    </row>
    <row r="31" spans="1:10" x14ac:dyDescent="0.3">
      <c r="A31" t="s">
        <v>192</v>
      </c>
      <c r="B31" s="1">
        <v>46043</v>
      </c>
      <c r="C31" t="s">
        <v>14</v>
      </c>
      <c r="D31" t="s">
        <v>75</v>
      </c>
      <c r="E31">
        <v>4</v>
      </c>
      <c r="F31">
        <v>0.05</v>
      </c>
      <c r="G31">
        <v>8360</v>
      </c>
      <c r="H31">
        <v>5200</v>
      </c>
      <c r="I31">
        <v>3160</v>
      </c>
      <c r="J31" t="s">
        <v>103</v>
      </c>
    </row>
    <row r="32" spans="1:10" x14ac:dyDescent="0.3">
      <c r="A32" t="s">
        <v>193</v>
      </c>
      <c r="B32" s="1">
        <v>46023</v>
      </c>
      <c r="C32" t="s">
        <v>8</v>
      </c>
      <c r="D32" t="s">
        <v>62</v>
      </c>
      <c r="E32">
        <v>5</v>
      </c>
      <c r="F32">
        <v>0</v>
      </c>
      <c r="G32">
        <v>6000</v>
      </c>
      <c r="H32">
        <v>3500</v>
      </c>
      <c r="I32">
        <v>2500</v>
      </c>
      <c r="J32" t="s">
        <v>101</v>
      </c>
    </row>
    <row r="33" spans="1:10" x14ac:dyDescent="0.3">
      <c r="A33" t="s">
        <v>194</v>
      </c>
      <c r="B33" s="1">
        <v>46034</v>
      </c>
      <c r="C33" t="s">
        <v>21</v>
      </c>
      <c r="D33" t="s">
        <v>62</v>
      </c>
      <c r="E33">
        <v>3</v>
      </c>
      <c r="F33">
        <v>0.15</v>
      </c>
      <c r="G33">
        <v>3060</v>
      </c>
      <c r="H33">
        <v>2100</v>
      </c>
      <c r="I33">
        <v>960</v>
      </c>
      <c r="J33" t="s">
        <v>103</v>
      </c>
    </row>
    <row r="34" spans="1:10" x14ac:dyDescent="0.3">
      <c r="A34" t="s">
        <v>195</v>
      </c>
      <c r="B34" s="1">
        <v>46048</v>
      </c>
      <c r="C34" t="s">
        <v>30</v>
      </c>
      <c r="D34" t="s">
        <v>57</v>
      </c>
      <c r="E34">
        <v>7</v>
      </c>
      <c r="F34">
        <v>0</v>
      </c>
      <c r="G34">
        <v>385000</v>
      </c>
      <c r="H34">
        <v>329000</v>
      </c>
      <c r="I34">
        <v>56000</v>
      </c>
      <c r="J34" t="s">
        <v>102</v>
      </c>
    </row>
    <row r="35" spans="1:10" x14ac:dyDescent="0.3">
      <c r="A35" t="s">
        <v>196</v>
      </c>
      <c r="B35" s="1">
        <v>46044</v>
      </c>
      <c r="C35" t="s">
        <v>14</v>
      </c>
      <c r="D35" t="s">
        <v>82</v>
      </c>
      <c r="E35">
        <v>7</v>
      </c>
      <c r="F35">
        <v>0.05</v>
      </c>
      <c r="G35">
        <v>11970</v>
      </c>
      <c r="H35">
        <v>7350</v>
      </c>
      <c r="I35">
        <v>4620</v>
      </c>
      <c r="J35" t="s">
        <v>103</v>
      </c>
    </row>
    <row r="36" spans="1:10" x14ac:dyDescent="0.3">
      <c r="A36" t="s">
        <v>197</v>
      </c>
      <c r="B36" s="1">
        <v>46051</v>
      </c>
      <c r="C36" t="s">
        <v>46</v>
      </c>
      <c r="D36" t="s">
        <v>67</v>
      </c>
      <c r="E36">
        <v>1</v>
      </c>
      <c r="F36">
        <v>0</v>
      </c>
      <c r="G36">
        <v>18000</v>
      </c>
      <c r="H36">
        <v>14500</v>
      </c>
      <c r="I36">
        <v>3500</v>
      </c>
      <c r="J36" t="s">
        <v>104</v>
      </c>
    </row>
    <row r="37" spans="1:10" x14ac:dyDescent="0.3">
      <c r="A37" t="s">
        <v>198</v>
      </c>
      <c r="B37" s="1">
        <v>46034</v>
      </c>
      <c r="C37" t="s">
        <v>34</v>
      </c>
      <c r="D37" t="s">
        <v>79</v>
      </c>
      <c r="E37">
        <v>4</v>
      </c>
      <c r="F37">
        <v>0.1</v>
      </c>
      <c r="G37">
        <v>23400</v>
      </c>
      <c r="H37">
        <v>19200</v>
      </c>
      <c r="I37">
        <v>4200</v>
      </c>
      <c r="J37" t="s">
        <v>101</v>
      </c>
    </row>
    <row r="38" spans="1:10" x14ac:dyDescent="0.3">
      <c r="A38" t="s">
        <v>199</v>
      </c>
      <c r="B38" s="1">
        <v>46047</v>
      </c>
      <c r="C38" t="s">
        <v>8</v>
      </c>
      <c r="D38" t="s">
        <v>73</v>
      </c>
      <c r="E38">
        <v>5</v>
      </c>
      <c r="F38">
        <v>0.05</v>
      </c>
      <c r="G38">
        <v>57000</v>
      </c>
      <c r="H38">
        <v>45000</v>
      </c>
      <c r="I38">
        <v>12000</v>
      </c>
      <c r="J38" t="s">
        <v>102</v>
      </c>
    </row>
    <row r="39" spans="1:10" x14ac:dyDescent="0.3">
      <c r="A39" t="s">
        <v>200</v>
      </c>
      <c r="B39" s="1">
        <v>46039</v>
      </c>
      <c r="C39" t="s">
        <v>30</v>
      </c>
      <c r="D39" t="s">
        <v>79</v>
      </c>
      <c r="E39">
        <v>4</v>
      </c>
      <c r="F39">
        <v>0</v>
      </c>
      <c r="G39">
        <v>26000</v>
      </c>
      <c r="H39">
        <v>19200</v>
      </c>
      <c r="I39">
        <v>6800</v>
      </c>
      <c r="J39" t="s">
        <v>101</v>
      </c>
    </row>
    <row r="40" spans="1:10" x14ac:dyDescent="0.3">
      <c r="A40" t="s">
        <v>201</v>
      </c>
      <c r="B40" s="1">
        <v>46049</v>
      </c>
      <c r="C40" t="s">
        <v>14</v>
      </c>
      <c r="D40" t="s">
        <v>77</v>
      </c>
      <c r="E40">
        <v>6</v>
      </c>
      <c r="F40">
        <v>0.1</v>
      </c>
      <c r="G40">
        <v>18900</v>
      </c>
      <c r="H40">
        <v>13200</v>
      </c>
      <c r="I40">
        <v>5700</v>
      </c>
      <c r="J40" t="s">
        <v>104</v>
      </c>
    </row>
    <row r="41" spans="1:10" x14ac:dyDescent="0.3">
      <c r="A41" t="s">
        <v>202</v>
      </c>
      <c r="B41" s="1">
        <v>46049</v>
      </c>
      <c r="C41" t="s">
        <v>38</v>
      </c>
      <c r="D41" t="s">
        <v>84</v>
      </c>
      <c r="E41">
        <v>5</v>
      </c>
      <c r="F41">
        <v>0</v>
      </c>
      <c r="G41">
        <v>16000</v>
      </c>
      <c r="H41">
        <v>12000</v>
      </c>
      <c r="I41">
        <v>4000</v>
      </c>
      <c r="J41" t="s">
        <v>104</v>
      </c>
    </row>
    <row r="42" spans="1:10" x14ac:dyDescent="0.3">
      <c r="A42" t="s">
        <v>203</v>
      </c>
      <c r="B42" s="1">
        <v>46053</v>
      </c>
      <c r="C42" t="s">
        <v>42</v>
      </c>
      <c r="D42" t="s">
        <v>73</v>
      </c>
      <c r="E42">
        <v>7</v>
      </c>
      <c r="F42">
        <v>0</v>
      </c>
      <c r="G42">
        <v>84000</v>
      </c>
      <c r="H42">
        <v>63000</v>
      </c>
      <c r="I42">
        <v>21000</v>
      </c>
      <c r="J42" t="s">
        <v>104</v>
      </c>
    </row>
    <row r="43" spans="1:10" x14ac:dyDescent="0.3">
      <c r="A43" t="s">
        <v>204</v>
      </c>
      <c r="B43" s="1">
        <v>46032</v>
      </c>
      <c r="C43" t="s">
        <v>40</v>
      </c>
      <c r="D43" t="s">
        <v>77</v>
      </c>
      <c r="E43">
        <v>7</v>
      </c>
      <c r="F43">
        <v>0</v>
      </c>
      <c r="G43">
        <v>24500</v>
      </c>
      <c r="H43">
        <v>15400</v>
      </c>
      <c r="I43">
        <v>9100</v>
      </c>
      <c r="J43" t="s">
        <v>103</v>
      </c>
    </row>
    <row r="44" spans="1:10" x14ac:dyDescent="0.3">
      <c r="A44" t="s">
        <v>205</v>
      </c>
      <c r="B44" s="1">
        <v>46050</v>
      </c>
      <c r="C44" t="s">
        <v>25</v>
      </c>
      <c r="D44" t="s">
        <v>75</v>
      </c>
      <c r="E44">
        <v>5</v>
      </c>
      <c r="F44">
        <v>0.1</v>
      </c>
      <c r="G44">
        <v>9900</v>
      </c>
      <c r="H44">
        <v>6500</v>
      </c>
      <c r="I44">
        <v>3400</v>
      </c>
      <c r="J44" t="s">
        <v>103</v>
      </c>
    </row>
    <row r="45" spans="1:10" x14ac:dyDescent="0.3">
      <c r="A45" t="s">
        <v>206</v>
      </c>
      <c r="B45" s="1">
        <v>46050</v>
      </c>
      <c r="C45" t="s">
        <v>38</v>
      </c>
      <c r="D45" t="s">
        <v>84</v>
      </c>
      <c r="E45">
        <v>7</v>
      </c>
      <c r="F45">
        <v>0.1</v>
      </c>
      <c r="G45">
        <v>20160</v>
      </c>
      <c r="H45">
        <v>16800</v>
      </c>
      <c r="I45">
        <v>3360</v>
      </c>
      <c r="J45" t="s">
        <v>101</v>
      </c>
    </row>
    <row r="46" spans="1:10" x14ac:dyDescent="0.3">
      <c r="A46" t="s">
        <v>207</v>
      </c>
      <c r="B46" s="1">
        <v>46038</v>
      </c>
      <c r="C46" t="s">
        <v>25</v>
      </c>
      <c r="D46" t="s">
        <v>60</v>
      </c>
      <c r="E46">
        <v>3</v>
      </c>
      <c r="F46">
        <v>0</v>
      </c>
      <c r="G46">
        <v>42000</v>
      </c>
      <c r="H46">
        <v>31500</v>
      </c>
      <c r="I46">
        <v>10500</v>
      </c>
      <c r="J46" t="s">
        <v>101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0A7EB-7513-4802-9383-6EC82BD84516}">
  <dimension ref="A1:J46"/>
  <sheetViews>
    <sheetView workbookViewId="0"/>
  </sheetViews>
  <sheetFormatPr defaultRowHeight="14.4" x14ac:dyDescent="0.3"/>
  <cols>
    <col min="1" max="1" width="10.77734375" bestFit="1" customWidth="1"/>
    <col min="2" max="2" width="12.88671875" bestFit="1" customWidth="1"/>
    <col min="3" max="3" width="14.109375" bestFit="1" customWidth="1"/>
    <col min="4" max="4" width="12.6640625" bestFit="1" customWidth="1"/>
    <col min="5" max="6" width="10.5546875" bestFit="1" customWidth="1"/>
    <col min="7" max="7" width="15.44140625" bestFit="1" customWidth="1"/>
    <col min="8" max="8" width="14.77734375" bestFit="1" customWidth="1"/>
    <col min="9" max="9" width="7.88671875" customWidth="1"/>
    <col min="10" max="10" width="16.88671875" bestFit="1" customWidth="1"/>
  </cols>
  <sheetData>
    <row r="1" spans="1:10" x14ac:dyDescent="0.3">
      <c r="A1" t="s">
        <v>115</v>
      </c>
      <c r="B1" t="s">
        <v>94</v>
      </c>
      <c r="C1" t="s">
        <v>0</v>
      </c>
      <c r="D1" t="s">
        <v>52</v>
      </c>
      <c r="E1" t="s">
        <v>95</v>
      </c>
      <c r="F1" t="s">
        <v>96</v>
      </c>
      <c r="G1" t="s">
        <v>97</v>
      </c>
      <c r="H1" t="s">
        <v>98</v>
      </c>
      <c r="I1" t="s">
        <v>99</v>
      </c>
      <c r="J1" t="s">
        <v>100</v>
      </c>
    </row>
    <row r="2" spans="1:10" x14ac:dyDescent="0.3">
      <c r="A2" t="s">
        <v>116</v>
      </c>
      <c r="B2" s="1">
        <v>46054</v>
      </c>
      <c r="C2" t="s">
        <v>34</v>
      </c>
      <c r="D2" t="s">
        <v>70</v>
      </c>
      <c r="E2">
        <v>3</v>
      </c>
      <c r="F2">
        <v>0</v>
      </c>
      <c r="G2">
        <v>25500</v>
      </c>
      <c r="H2">
        <v>19500</v>
      </c>
      <c r="I2">
        <v>6000</v>
      </c>
      <c r="J2" t="s">
        <v>102</v>
      </c>
    </row>
    <row r="3" spans="1:10" x14ac:dyDescent="0.3">
      <c r="A3" t="s">
        <v>117</v>
      </c>
      <c r="B3" s="1">
        <v>46062</v>
      </c>
      <c r="C3" t="s">
        <v>17</v>
      </c>
      <c r="D3" t="s">
        <v>73</v>
      </c>
      <c r="E3">
        <v>4</v>
      </c>
      <c r="F3">
        <v>0.1</v>
      </c>
      <c r="G3">
        <v>43200</v>
      </c>
      <c r="H3">
        <v>36000</v>
      </c>
      <c r="I3">
        <v>7200</v>
      </c>
      <c r="J3" t="s">
        <v>104</v>
      </c>
    </row>
    <row r="4" spans="1:10" x14ac:dyDescent="0.3">
      <c r="A4" t="s">
        <v>118</v>
      </c>
      <c r="B4" s="1">
        <v>46081</v>
      </c>
      <c r="C4" t="s">
        <v>17</v>
      </c>
      <c r="D4" t="s">
        <v>70</v>
      </c>
      <c r="E4">
        <v>1</v>
      </c>
      <c r="F4">
        <v>0.15</v>
      </c>
      <c r="G4">
        <v>7225</v>
      </c>
      <c r="H4">
        <v>6500</v>
      </c>
      <c r="I4">
        <v>725</v>
      </c>
      <c r="J4" t="s">
        <v>103</v>
      </c>
    </row>
    <row r="5" spans="1:10" x14ac:dyDescent="0.3">
      <c r="A5" t="s">
        <v>119</v>
      </c>
      <c r="B5" s="1">
        <v>46080</v>
      </c>
      <c r="C5" t="s">
        <v>27</v>
      </c>
      <c r="D5" t="s">
        <v>90</v>
      </c>
      <c r="E5">
        <v>4</v>
      </c>
      <c r="F5">
        <v>0.1</v>
      </c>
      <c r="G5">
        <v>115200</v>
      </c>
      <c r="H5">
        <v>102000</v>
      </c>
      <c r="I5">
        <v>13200</v>
      </c>
      <c r="J5" t="s">
        <v>103</v>
      </c>
    </row>
    <row r="6" spans="1:10" x14ac:dyDescent="0.3">
      <c r="A6" t="s">
        <v>120</v>
      </c>
      <c r="B6" s="1">
        <v>46059</v>
      </c>
      <c r="C6" t="s">
        <v>27</v>
      </c>
      <c r="D6" t="s">
        <v>90</v>
      </c>
      <c r="E6">
        <v>7</v>
      </c>
      <c r="F6">
        <v>0</v>
      </c>
      <c r="G6">
        <v>224000</v>
      </c>
      <c r="H6">
        <v>178500</v>
      </c>
      <c r="I6">
        <v>45500</v>
      </c>
      <c r="J6" t="s">
        <v>102</v>
      </c>
    </row>
    <row r="7" spans="1:10" x14ac:dyDescent="0.3">
      <c r="A7" t="s">
        <v>121</v>
      </c>
      <c r="B7" s="1">
        <v>46069</v>
      </c>
      <c r="C7" t="s">
        <v>11</v>
      </c>
      <c r="D7" t="s">
        <v>70</v>
      </c>
      <c r="E7">
        <v>5</v>
      </c>
      <c r="F7">
        <v>0.1</v>
      </c>
      <c r="G7">
        <v>38250</v>
      </c>
      <c r="H7">
        <v>32500</v>
      </c>
      <c r="I7">
        <v>5750</v>
      </c>
      <c r="J7" t="s">
        <v>101</v>
      </c>
    </row>
    <row r="8" spans="1:10" x14ac:dyDescent="0.3">
      <c r="A8" t="s">
        <v>122</v>
      </c>
      <c r="B8" s="1">
        <v>46056</v>
      </c>
      <c r="C8" t="s">
        <v>48</v>
      </c>
      <c r="D8" t="s">
        <v>70</v>
      </c>
      <c r="E8">
        <v>5</v>
      </c>
      <c r="F8">
        <v>0.05</v>
      </c>
      <c r="G8">
        <v>40375</v>
      </c>
      <c r="H8">
        <v>32500</v>
      </c>
      <c r="I8">
        <v>7875</v>
      </c>
      <c r="J8" t="s">
        <v>102</v>
      </c>
    </row>
    <row r="9" spans="1:10" x14ac:dyDescent="0.3">
      <c r="A9" t="s">
        <v>123</v>
      </c>
      <c r="B9" s="1">
        <v>46073</v>
      </c>
      <c r="C9" t="s">
        <v>42</v>
      </c>
      <c r="D9" t="s">
        <v>87</v>
      </c>
      <c r="E9">
        <v>7</v>
      </c>
      <c r="F9">
        <v>0.1</v>
      </c>
      <c r="G9">
        <v>151200</v>
      </c>
      <c r="H9">
        <v>133000</v>
      </c>
      <c r="I9">
        <v>18200</v>
      </c>
      <c r="J9" t="s">
        <v>102</v>
      </c>
    </row>
    <row r="10" spans="1:10" x14ac:dyDescent="0.3">
      <c r="A10" t="s">
        <v>124</v>
      </c>
      <c r="B10" s="1">
        <v>46081</v>
      </c>
      <c r="C10" t="s">
        <v>42</v>
      </c>
      <c r="D10" t="s">
        <v>62</v>
      </c>
      <c r="E10">
        <v>1</v>
      </c>
      <c r="F10">
        <v>0</v>
      </c>
      <c r="G10">
        <v>1200</v>
      </c>
      <c r="H10">
        <v>700</v>
      </c>
      <c r="I10">
        <v>500</v>
      </c>
      <c r="J10" t="s">
        <v>104</v>
      </c>
    </row>
    <row r="11" spans="1:10" x14ac:dyDescent="0.3">
      <c r="A11" t="s">
        <v>125</v>
      </c>
      <c r="B11" s="1">
        <v>46080</v>
      </c>
      <c r="C11" t="s">
        <v>11</v>
      </c>
      <c r="D11" t="s">
        <v>70</v>
      </c>
      <c r="E11">
        <v>3</v>
      </c>
      <c r="F11">
        <v>0</v>
      </c>
      <c r="G11">
        <v>25500</v>
      </c>
      <c r="H11">
        <v>19500</v>
      </c>
      <c r="I11">
        <v>6000</v>
      </c>
      <c r="J11" t="s">
        <v>104</v>
      </c>
    </row>
    <row r="12" spans="1:10" x14ac:dyDescent="0.3">
      <c r="A12" t="s">
        <v>126</v>
      </c>
      <c r="B12" s="1">
        <v>46057</v>
      </c>
      <c r="C12" t="s">
        <v>50</v>
      </c>
      <c r="D12" t="s">
        <v>75</v>
      </c>
      <c r="E12">
        <v>2</v>
      </c>
      <c r="F12">
        <v>0.05</v>
      </c>
      <c r="G12">
        <v>4180</v>
      </c>
      <c r="H12">
        <v>2600</v>
      </c>
      <c r="I12">
        <v>1580</v>
      </c>
      <c r="J12" t="s">
        <v>102</v>
      </c>
    </row>
    <row r="13" spans="1:10" x14ac:dyDescent="0.3">
      <c r="A13" t="s">
        <v>127</v>
      </c>
      <c r="B13" s="1">
        <v>46072</v>
      </c>
      <c r="C13" t="s">
        <v>4</v>
      </c>
      <c r="D13" t="s">
        <v>82</v>
      </c>
      <c r="E13">
        <v>1</v>
      </c>
      <c r="F13">
        <v>0</v>
      </c>
      <c r="G13">
        <v>1800</v>
      </c>
      <c r="H13">
        <v>1050</v>
      </c>
      <c r="I13">
        <v>750</v>
      </c>
      <c r="J13" t="s">
        <v>103</v>
      </c>
    </row>
    <row r="14" spans="1:10" x14ac:dyDescent="0.3">
      <c r="A14" t="s">
        <v>128</v>
      </c>
      <c r="B14" s="1">
        <v>46079</v>
      </c>
      <c r="C14" t="s">
        <v>50</v>
      </c>
      <c r="D14" t="s">
        <v>82</v>
      </c>
      <c r="E14">
        <v>2</v>
      </c>
      <c r="F14">
        <v>0</v>
      </c>
      <c r="G14">
        <v>3600</v>
      </c>
      <c r="H14">
        <v>2100</v>
      </c>
      <c r="I14">
        <v>1500</v>
      </c>
      <c r="J14" t="s">
        <v>104</v>
      </c>
    </row>
    <row r="15" spans="1:10" x14ac:dyDescent="0.3">
      <c r="A15" t="s">
        <v>129</v>
      </c>
      <c r="B15" s="1">
        <v>46056</v>
      </c>
      <c r="C15" t="s">
        <v>32</v>
      </c>
      <c r="D15" t="s">
        <v>60</v>
      </c>
      <c r="E15">
        <v>7</v>
      </c>
      <c r="F15">
        <v>0.15</v>
      </c>
      <c r="G15">
        <v>83300</v>
      </c>
      <c r="H15">
        <v>73500</v>
      </c>
      <c r="I15">
        <v>9800</v>
      </c>
      <c r="J15" t="s">
        <v>101</v>
      </c>
    </row>
    <row r="16" spans="1:10" x14ac:dyDescent="0.3">
      <c r="A16" t="s">
        <v>130</v>
      </c>
      <c r="B16" s="1">
        <v>46072</v>
      </c>
      <c r="C16" t="s">
        <v>44</v>
      </c>
      <c r="D16" t="s">
        <v>67</v>
      </c>
      <c r="E16">
        <v>6</v>
      </c>
      <c r="F16">
        <v>0</v>
      </c>
      <c r="G16">
        <v>108000</v>
      </c>
      <c r="H16">
        <v>87000</v>
      </c>
      <c r="I16">
        <v>21000</v>
      </c>
      <c r="J16" t="s">
        <v>104</v>
      </c>
    </row>
    <row r="17" spans="1:10" x14ac:dyDescent="0.3">
      <c r="A17" t="s">
        <v>131</v>
      </c>
      <c r="B17" s="1">
        <v>46073</v>
      </c>
      <c r="C17" t="s">
        <v>25</v>
      </c>
      <c r="D17" t="s">
        <v>90</v>
      </c>
      <c r="E17">
        <v>2</v>
      </c>
      <c r="F17">
        <v>0</v>
      </c>
      <c r="G17">
        <v>64000</v>
      </c>
      <c r="H17">
        <v>51000</v>
      </c>
      <c r="I17">
        <v>13000</v>
      </c>
      <c r="J17" t="s">
        <v>104</v>
      </c>
    </row>
    <row r="18" spans="1:10" x14ac:dyDescent="0.3">
      <c r="A18" t="s">
        <v>132</v>
      </c>
      <c r="B18" s="1">
        <v>46060</v>
      </c>
      <c r="C18" t="s">
        <v>14</v>
      </c>
      <c r="D18" t="s">
        <v>57</v>
      </c>
      <c r="E18">
        <v>3</v>
      </c>
      <c r="F18">
        <v>0</v>
      </c>
      <c r="G18">
        <v>165000</v>
      </c>
      <c r="H18">
        <v>141000</v>
      </c>
      <c r="I18">
        <v>24000</v>
      </c>
      <c r="J18" t="s">
        <v>101</v>
      </c>
    </row>
    <row r="19" spans="1:10" x14ac:dyDescent="0.3">
      <c r="A19" t="s">
        <v>133</v>
      </c>
      <c r="B19" s="1">
        <v>46073</v>
      </c>
      <c r="C19" t="s">
        <v>21</v>
      </c>
      <c r="D19" t="s">
        <v>84</v>
      </c>
      <c r="E19">
        <v>6</v>
      </c>
      <c r="F19">
        <v>0.1</v>
      </c>
      <c r="G19">
        <v>17280</v>
      </c>
      <c r="H19">
        <v>14400</v>
      </c>
      <c r="I19">
        <v>2880</v>
      </c>
      <c r="J19" t="s">
        <v>102</v>
      </c>
    </row>
    <row r="20" spans="1:10" x14ac:dyDescent="0.3">
      <c r="A20" t="s">
        <v>134</v>
      </c>
      <c r="B20" s="1">
        <v>46062</v>
      </c>
      <c r="C20" t="s">
        <v>25</v>
      </c>
      <c r="D20" t="s">
        <v>92</v>
      </c>
      <c r="E20">
        <v>2</v>
      </c>
      <c r="F20">
        <v>0</v>
      </c>
      <c r="G20">
        <v>3600</v>
      </c>
      <c r="H20">
        <v>2200</v>
      </c>
      <c r="I20">
        <v>1400</v>
      </c>
      <c r="J20" t="s">
        <v>101</v>
      </c>
    </row>
    <row r="21" spans="1:10" x14ac:dyDescent="0.3">
      <c r="A21" t="s">
        <v>135</v>
      </c>
      <c r="B21" s="1">
        <v>46054</v>
      </c>
      <c r="C21" t="s">
        <v>50</v>
      </c>
      <c r="D21" t="s">
        <v>57</v>
      </c>
      <c r="E21">
        <v>7</v>
      </c>
      <c r="F21">
        <v>0.05</v>
      </c>
      <c r="G21">
        <v>365750</v>
      </c>
      <c r="H21">
        <v>329000</v>
      </c>
      <c r="I21">
        <v>36750</v>
      </c>
      <c r="J21" t="s">
        <v>102</v>
      </c>
    </row>
    <row r="22" spans="1:10" x14ac:dyDescent="0.3">
      <c r="A22" t="s">
        <v>136</v>
      </c>
      <c r="B22" s="1">
        <v>46061</v>
      </c>
      <c r="C22" t="s">
        <v>11</v>
      </c>
      <c r="D22" t="s">
        <v>67</v>
      </c>
      <c r="E22">
        <v>6</v>
      </c>
      <c r="F22">
        <v>0.1</v>
      </c>
      <c r="G22">
        <v>97200</v>
      </c>
      <c r="H22">
        <v>87000</v>
      </c>
      <c r="I22">
        <v>10200</v>
      </c>
      <c r="J22" t="s">
        <v>102</v>
      </c>
    </row>
    <row r="23" spans="1:10" x14ac:dyDescent="0.3">
      <c r="A23" t="s">
        <v>137</v>
      </c>
      <c r="B23" s="1">
        <v>46060</v>
      </c>
      <c r="C23" t="s">
        <v>42</v>
      </c>
      <c r="D23" t="s">
        <v>84</v>
      </c>
      <c r="E23">
        <v>7</v>
      </c>
      <c r="F23">
        <v>0.15</v>
      </c>
      <c r="G23">
        <v>19040</v>
      </c>
      <c r="H23">
        <v>16800</v>
      </c>
      <c r="I23">
        <v>2240</v>
      </c>
      <c r="J23" t="s">
        <v>102</v>
      </c>
    </row>
    <row r="24" spans="1:10" x14ac:dyDescent="0.3">
      <c r="A24" t="s">
        <v>138</v>
      </c>
      <c r="B24" s="1">
        <v>46071</v>
      </c>
      <c r="C24" t="s">
        <v>11</v>
      </c>
      <c r="D24" t="s">
        <v>87</v>
      </c>
      <c r="E24">
        <v>2</v>
      </c>
      <c r="F24">
        <v>0</v>
      </c>
      <c r="G24">
        <v>48000</v>
      </c>
      <c r="H24">
        <v>38000</v>
      </c>
      <c r="I24">
        <v>10000</v>
      </c>
      <c r="J24" t="s">
        <v>101</v>
      </c>
    </row>
    <row r="25" spans="1:10" x14ac:dyDescent="0.3">
      <c r="A25" t="s">
        <v>139</v>
      </c>
      <c r="B25" s="1">
        <v>46061</v>
      </c>
      <c r="C25" t="s">
        <v>46</v>
      </c>
      <c r="D25" t="s">
        <v>62</v>
      </c>
      <c r="E25">
        <v>7</v>
      </c>
      <c r="F25">
        <v>0.15</v>
      </c>
      <c r="G25">
        <v>7140</v>
      </c>
      <c r="H25">
        <v>4900</v>
      </c>
      <c r="I25">
        <v>2240</v>
      </c>
      <c r="J25" t="s">
        <v>102</v>
      </c>
    </row>
    <row r="26" spans="1:10" x14ac:dyDescent="0.3">
      <c r="A26" t="s">
        <v>140</v>
      </c>
      <c r="B26" s="1">
        <v>46054</v>
      </c>
      <c r="C26" t="s">
        <v>38</v>
      </c>
      <c r="D26" t="s">
        <v>65</v>
      </c>
      <c r="E26">
        <v>3</v>
      </c>
      <c r="F26">
        <v>0.1</v>
      </c>
      <c r="G26">
        <v>1890</v>
      </c>
      <c r="H26">
        <v>1140</v>
      </c>
      <c r="I26">
        <v>750</v>
      </c>
      <c r="J26" t="s">
        <v>103</v>
      </c>
    </row>
    <row r="27" spans="1:10" x14ac:dyDescent="0.3">
      <c r="A27" t="s">
        <v>141</v>
      </c>
      <c r="B27" s="1">
        <v>46064</v>
      </c>
      <c r="C27" t="s">
        <v>46</v>
      </c>
      <c r="D27" t="s">
        <v>62</v>
      </c>
      <c r="E27">
        <v>2</v>
      </c>
      <c r="F27">
        <v>0.1</v>
      </c>
      <c r="G27">
        <v>2160</v>
      </c>
      <c r="H27">
        <v>1400</v>
      </c>
      <c r="I27">
        <v>760</v>
      </c>
      <c r="J27" t="s">
        <v>101</v>
      </c>
    </row>
    <row r="28" spans="1:10" x14ac:dyDescent="0.3">
      <c r="A28" t="s">
        <v>142</v>
      </c>
      <c r="B28" s="1">
        <v>46081</v>
      </c>
      <c r="C28" t="s">
        <v>8</v>
      </c>
      <c r="D28" t="s">
        <v>57</v>
      </c>
      <c r="E28">
        <v>2</v>
      </c>
      <c r="F28">
        <v>0.1</v>
      </c>
      <c r="G28">
        <v>99000</v>
      </c>
      <c r="H28">
        <v>94000</v>
      </c>
      <c r="I28">
        <v>5000</v>
      </c>
      <c r="J28" t="s">
        <v>103</v>
      </c>
    </row>
    <row r="29" spans="1:10" x14ac:dyDescent="0.3">
      <c r="A29" t="s">
        <v>143</v>
      </c>
      <c r="B29" s="1">
        <v>46078</v>
      </c>
      <c r="C29" t="s">
        <v>11</v>
      </c>
      <c r="D29" t="s">
        <v>57</v>
      </c>
      <c r="E29">
        <v>2</v>
      </c>
      <c r="F29">
        <v>0.15</v>
      </c>
      <c r="G29">
        <v>93500</v>
      </c>
      <c r="H29">
        <v>94000</v>
      </c>
      <c r="I29">
        <v>-500</v>
      </c>
      <c r="J29" t="s">
        <v>102</v>
      </c>
    </row>
    <row r="30" spans="1:10" x14ac:dyDescent="0.3">
      <c r="A30" t="s">
        <v>144</v>
      </c>
      <c r="B30" s="1">
        <v>46078</v>
      </c>
      <c r="C30" t="s">
        <v>42</v>
      </c>
      <c r="D30" t="s">
        <v>84</v>
      </c>
      <c r="E30">
        <v>1</v>
      </c>
      <c r="F30">
        <v>0.1</v>
      </c>
      <c r="G30">
        <v>2880</v>
      </c>
      <c r="H30">
        <v>2400</v>
      </c>
      <c r="I30">
        <v>480</v>
      </c>
      <c r="J30" t="s">
        <v>104</v>
      </c>
    </row>
    <row r="31" spans="1:10" x14ac:dyDescent="0.3">
      <c r="A31" t="s">
        <v>145</v>
      </c>
      <c r="B31" s="1">
        <v>46071</v>
      </c>
      <c r="C31" t="s">
        <v>27</v>
      </c>
      <c r="D31" t="s">
        <v>84</v>
      </c>
      <c r="E31">
        <v>1</v>
      </c>
      <c r="F31">
        <v>0.15</v>
      </c>
      <c r="G31">
        <v>2720</v>
      </c>
      <c r="H31">
        <v>2400</v>
      </c>
      <c r="I31">
        <v>320</v>
      </c>
      <c r="J31" t="s">
        <v>102</v>
      </c>
    </row>
    <row r="32" spans="1:10" x14ac:dyDescent="0.3">
      <c r="A32" t="s">
        <v>146</v>
      </c>
      <c r="B32" s="1">
        <v>46076</v>
      </c>
      <c r="C32" t="s">
        <v>14</v>
      </c>
      <c r="D32" t="s">
        <v>90</v>
      </c>
      <c r="E32">
        <v>1</v>
      </c>
      <c r="F32">
        <v>0.1</v>
      </c>
      <c r="G32">
        <v>28800</v>
      </c>
      <c r="H32">
        <v>25500</v>
      </c>
      <c r="I32">
        <v>3300</v>
      </c>
      <c r="J32" t="s">
        <v>103</v>
      </c>
    </row>
    <row r="33" spans="1:10" x14ac:dyDescent="0.3">
      <c r="A33" t="s">
        <v>147</v>
      </c>
      <c r="B33" s="1">
        <v>46063</v>
      </c>
      <c r="C33" t="s">
        <v>4</v>
      </c>
      <c r="D33" t="s">
        <v>87</v>
      </c>
      <c r="E33">
        <v>3</v>
      </c>
      <c r="F33">
        <v>0.05</v>
      </c>
      <c r="G33">
        <v>68400</v>
      </c>
      <c r="H33">
        <v>57000</v>
      </c>
      <c r="I33">
        <v>11400</v>
      </c>
      <c r="J33" t="s">
        <v>103</v>
      </c>
    </row>
    <row r="34" spans="1:10" x14ac:dyDescent="0.3">
      <c r="A34" t="s">
        <v>148</v>
      </c>
      <c r="B34" s="1">
        <v>46056</v>
      </c>
      <c r="C34" t="s">
        <v>14</v>
      </c>
      <c r="D34" t="s">
        <v>90</v>
      </c>
      <c r="E34">
        <v>6</v>
      </c>
      <c r="F34">
        <v>0.1</v>
      </c>
      <c r="G34">
        <v>172800</v>
      </c>
      <c r="H34">
        <v>153000</v>
      </c>
      <c r="I34">
        <v>19800</v>
      </c>
      <c r="J34" t="s">
        <v>101</v>
      </c>
    </row>
    <row r="35" spans="1:10" x14ac:dyDescent="0.3">
      <c r="A35" t="s">
        <v>149</v>
      </c>
      <c r="B35" s="1">
        <v>46060</v>
      </c>
      <c r="C35" t="s">
        <v>4</v>
      </c>
      <c r="D35" t="s">
        <v>67</v>
      </c>
      <c r="E35">
        <v>7</v>
      </c>
      <c r="F35">
        <v>0.15</v>
      </c>
      <c r="G35">
        <v>107100</v>
      </c>
      <c r="H35">
        <v>101500</v>
      </c>
      <c r="I35">
        <v>5600</v>
      </c>
      <c r="J35" t="s">
        <v>104</v>
      </c>
    </row>
    <row r="36" spans="1:10" x14ac:dyDescent="0.3">
      <c r="A36" t="s">
        <v>150</v>
      </c>
      <c r="B36" s="1">
        <v>46081</v>
      </c>
      <c r="C36" t="s">
        <v>38</v>
      </c>
      <c r="D36" t="s">
        <v>70</v>
      </c>
      <c r="E36">
        <v>5</v>
      </c>
      <c r="F36">
        <v>0</v>
      </c>
      <c r="G36">
        <v>42500</v>
      </c>
      <c r="H36">
        <v>32500</v>
      </c>
      <c r="I36">
        <v>10000</v>
      </c>
      <c r="J36" t="s">
        <v>101</v>
      </c>
    </row>
    <row r="37" spans="1:10" x14ac:dyDescent="0.3">
      <c r="A37" t="s">
        <v>151</v>
      </c>
      <c r="B37" s="1">
        <v>46069</v>
      </c>
      <c r="C37" t="s">
        <v>42</v>
      </c>
      <c r="D37" t="s">
        <v>62</v>
      </c>
      <c r="E37">
        <v>2</v>
      </c>
      <c r="F37">
        <v>0.1</v>
      </c>
      <c r="G37">
        <v>2160</v>
      </c>
      <c r="H37">
        <v>1400</v>
      </c>
      <c r="I37">
        <v>760</v>
      </c>
      <c r="J37" t="s">
        <v>103</v>
      </c>
    </row>
    <row r="38" spans="1:10" x14ac:dyDescent="0.3">
      <c r="A38" t="s">
        <v>152</v>
      </c>
      <c r="B38" s="1">
        <v>46079</v>
      </c>
      <c r="C38" t="s">
        <v>50</v>
      </c>
      <c r="D38" t="s">
        <v>84</v>
      </c>
      <c r="E38">
        <v>7</v>
      </c>
      <c r="F38">
        <v>0</v>
      </c>
      <c r="G38">
        <v>22400</v>
      </c>
      <c r="H38">
        <v>16800</v>
      </c>
      <c r="I38">
        <v>5600</v>
      </c>
      <c r="J38" t="s">
        <v>102</v>
      </c>
    </row>
    <row r="39" spans="1:10" x14ac:dyDescent="0.3">
      <c r="A39" t="s">
        <v>153</v>
      </c>
      <c r="B39" s="1">
        <v>46069</v>
      </c>
      <c r="C39" t="s">
        <v>25</v>
      </c>
      <c r="D39" t="s">
        <v>77</v>
      </c>
      <c r="E39">
        <v>2</v>
      </c>
      <c r="F39">
        <v>0.05</v>
      </c>
      <c r="G39">
        <v>6650</v>
      </c>
      <c r="H39">
        <v>4400</v>
      </c>
      <c r="I39">
        <v>2250</v>
      </c>
      <c r="J39" t="s">
        <v>104</v>
      </c>
    </row>
    <row r="40" spans="1:10" x14ac:dyDescent="0.3">
      <c r="A40" t="s">
        <v>154</v>
      </c>
      <c r="B40" s="1">
        <v>46078</v>
      </c>
      <c r="C40" t="s">
        <v>23</v>
      </c>
      <c r="D40" t="s">
        <v>67</v>
      </c>
      <c r="E40">
        <v>3</v>
      </c>
      <c r="F40">
        <v>0</v>
      </c>
      <c r="G40">
        <v>54000</v>
      </c>
      <c r="H40">
        <v>43500</v>
      </c>
      <c r="I40">
        <v>10500</v>
      </c>
      <c r="J40" t="s">
        <v>102</v>
      </c>
    </row>
    <row r="41" spans="1:10" x14ac:dyDescent="0.3">
      <c r="A41" t="s">
        <v>155</v>
      </c>
      <c r="B41" s="1">
        <v>46073</v>
      </c>
      <c r="C41" t="s">
        <v>11</v>
      </c>
      <c r="D41" t="s">
        <v>75</v>
      </c>
      <c r="E41">
        <v>2</v>
      </c>
      <c r="F41">
        <v>0.05</v>
      </c>
      <c r="G41">
        <v>4180</v>
      </c>
      <c r="H41">
        <v>2600</v>
      </c>
      <c r="I41">
        <v>1580</v>
      </c>
      <c r="J41" t="s">
        <v>102</v>
      </c>
    </row>
    <row r="42" spans="1:10" x14ac:dyDescent="0.3">
      <c r="A42" t="s">
        <v>156</v>
      </c>
      <c r="B42" s="1">
        <v>46081</v>
      </c>
      <c r="C42" t="s">
        <v>44</v>
      </c>
      <c r="D42" t="s">
        <v>87</v>
      </c>
      <c r="E42">
        <v>1</v>
      </c>
      <c r="F42">
        <v>0.1</v>
      </c>
      <c r="G42">
        <v>21600</v>
      </c>
      <c r="H42">
        <v>19000</v>
      </c>
      <c r="I42">
        <v>2600</v>
      </c>
      <c r="J42" t="s">
        <v>104</v>
      </c>
    </row>
    <row r="43" spans="1:10" x14ac:dyDescent="0.3">
      <c r="A43" t="s">
        <v>157</v>
      </c>
      <c r="B43" s="1">
        <v>46070</v>
      </c>
      <c r="C43" t="s">
        <v>4</v>
      </c>
      <c r="D43" t="s">
        <v>57</v>
      </c>
      <c r="E43">
        <v>5</v>
      </c>
      <c r="F43">
        <v>0</v>
      </c>
      <c r="G43">
        <v>275000</v>
      </c>
      <c r="H43">
        <v>235000</v>
      </c>
      <c r="I43">
        <v>40000</v>
      </c>
      <c r="J43" t="s">
        <v>101</v>
      </c>
    </row>
    <row r="44" spans="1:10" x14ac:dyDescent="0.3">
      <c r="A44" t="s">
        <v>158</v>
      </c>
      <c r="B44" s="1">
        <v>46055</v>
      </c>
      <c r="C44" t="s">
        <v>42</v>
      </c>
      <c r="D44" t="s">
        <v>90</v>
      </c>
      <c r="E44">
        <v>4</v>
      </c>
      <c r="F44">
        <v>0</v>
      </c>
      <c r="G44">
        <v>128000</v>
      </c>
      <c r="H44">
        <v>102000</v>
      </c>
      <c r="I44">
        <v>26000</v>
      </c>
      <c r="J44" t="s">
        <v>102</v>
      </c>
    </row>
    <row r="45" spans="1:10" x14ac:dyDescent="0.3">
      <c r="A45" t="s">
        <v>159</v>
      </c>
      <c r="B45" s="1">
        <v>46054</v>
      </c>
      <c r="C45" t="s">
        <v>34</v>
      </c>
      <c r="D45" t="s">
        <v>67</v>
      </c>
      <c r="E45">
        <v>2</v>
      </c>
      <c r="F45">
        <v>0.15</v>
      </c>
      <c r="G45">
        <v>30600</v>
      </c>
      <c r="H45">
        <v>29000</v>
      </c>
      <c r="I45">
        <v>1600</v>
      </c>
      <c r="J45" t="s">
        <v>103</v>
      </c>
    </row>
    <row r="46" spans="1:10" x14ac:dyDescent="0.3">
      <c r="A46" t="s">
        <v>160</v>
      </c>
      <c r="B46" s="1">
        <v>46069</v>
      </c>
      <c r="C46" t="s">
        <v>48</v>
      </c>
      <c r="D46" t="s">
        <v>92</v>
      </c>
      <c r="E46">
        <v>7</v>
      </c>
      <c r="F46">
        <v>0</v>
      </c>
      <c r="G46">
        <v>12600</v>
      </c>
      <c r="H46">
        <v>7700</v>
      </c>
      <c r="I46">
        <v>4900</v>
      </c>
      <c r="J46" t="s">
        <v>102</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5684-8243-4499-987C-95ABFE4D3F74}">
  <dimension ref="A1:E16"/>
  <sheetViews>
    <sheetView workbookViewId="0"/>
  </sheetViews>
  <sheetFormatPr defaultRowHeight="14.4" x14ac:dyDescent="0.3"/>
  <cols>
    <col min="1" max="1" width="12.6640625" bestFit="1" customWidth="1"/>
    <col min="2" max="2" width="16" bestFit="1" customWidth="1"/>
    <col min="3" max="3" width="10.77734375" bestFit="1" customWidth="1"/>
    <col min="4" max="4" width="11.88671875" bestFit="1" customWidth="1"/>
    <col min="5" max="5" width="11.44140625" bestFit="1" customWidth="1"/>
  </cols>
  <sheetData>
    <row r="1" spans="1:5" x14ac:dyDescent="0.3">
      <c r="A1" t="s">
        <v>52</v>
      </c>
      <c r="B1" t="s">
        <v>53</v>
      </c>
      <c r="C1" t="s">
        <v>54</v>
      </c>
      <c r="D1" t="s">
        <v>55</v>
      </c>
      <c r="E1" t="s">
        <v>56</v>
      </c>
    </row>
    <row r="2" spans="1:5" x14ac:dyDescent="0.3">
      <c r="A2" t="s">
        <v>57</v>
      </c>
      <c r="B2" t="s">
        <v>58</v>
      </c>
      <c r="C2" t="s">
        <v>59</v>
      </c>
      <c r="D2">
        <v>55000</v>
      </c>
      <c r="E2">
        <v>47000</v>
      </c>
    </row>
    <row r="3" spans="1:5" x14ac:dyDescent="0.3">
      <c r="A3" t="s">
        <v>60</v>
      </c>
      <c r="B3" t="s">
        <v>61</v>
      </c>
      <c r="C3" t="s">
        <v>59</v>
      </c>
      <c r="D3">
        <v>14000</v>
      </c>
      <c r="E3">
        <v>10500</v>
      </c>
    </row>
    <row r="4" spans="1:5" x14ac:dyDescent="0.3">
      <c r="A4" t="s">
        <v>62</v>
      </c>
      <c r="B4" t="s">
        <v>63</v>
      </c>
      <c r="C4" t="s">
        <v>64</v>
      </c>
      <c r="D4">
        <v>1200</v>
      </c>
      <c r="E4">
        <v>700</v>
      </c>
    </row>
    <row r="5" spans="1:5" x14ac:dyDescent="0.3">
      <c r="A5" t="s">
        <v>65</v>
      </c>
      <c r="B5" t="s">
        <v>66</v>
      </c>
      <c r="C5" t="s">
        <v>64</v>
      </c>
      <c r="D5">
        <v>700</v>
      </c>
      <c r="E5">
        <v>380</v>
      </c>
    </row>
    <row r="6" spans="1:5" x14ac:dyDescent="0.3">
      <c r="A6" t="s">
        <v>67</v>
      </c>
      <c r="B6" t="s">
        <v>68</v>
      </c>
      <c r="C6" t="s">
        <v>69</v>
      </c>
      <c r="D6">
        <v>18000</v>
      </c>
      <c r="E6">
        <v>14500</v>
      </c>
    </row>
    <row r="7" spans="1:5" x14ac:dyDescent="0.3">
      <c r="A7" t="s">
        <v>70</v>
      </c>
      <c r="B7" t="s">
        <v>71</v>
      </c>
      <c r="C7" t="s">
        <v>72</v>
      </c>
      <c r="D7">
        <v>8500</v>
      </c>
      <c r="E7">
        <v>6500</v>
      </c>
    </row>
    <row r="8" spans="1:5" x14ac:dyDescent="0.3">
      <c r="A8" t="s">
        <v>73</v>
      </c>
      <c r="B8" t="s">
        <v>74</v>
      </c>
      <c r="C8" t="s">
        <v>72</v>
      </c>
      <c r="D8">
        <v>12000</v>
      </c>
      <c r="E8">
        <v>9000</v>
      </c>
    </row>
    <row r="9" spans="1:5" x14ac:dyDescent="0.3">
      <c r="A9" t="s">
        <v>75</v>
      </c>
      <c r="B9" t="s">
        <v>76</v>
      </c>
      <c r="C9" t="s">
        <v>64</v>
      </c>
      <c r="D9">
        <v>2200</v>
      </c>
      <c r="E9">
        <v>1300</v>
      </c>
    </row>
    <row r="10" spans="1:5" x14ac:dyDescent="0.3">
      <c r="A10" t="s">
        <v>77</v>
      </c>
      <c r="B10" t="s">
        <v>78</v>
      </c>
      <c r="C10" t="s">
        <v>64</v>
      </c>
      <c r="D10">
        <v>3500</v>
      </c>
      <c r="E10">
        <v>2200</v>
      </c>
    </row>
    <row r="11" spans="1:5" x14ac:dyDescent="0.3">
      <c r="A11" t="s">
        <v>79</v>
      </c>
      <c r="B11" t="s">
        <v>80</v>
      </c>
      <c r="C11" t="s">
        <v>81</v>
      </c>
      <c r="D11">
        <v>6500</v>
      </c>
      <c r="E11">
        <v>4800</v>
      </c>
    </row>
    <row r="12" spans="1:5" x14ac:dyDescent="0.3">
      <c r="A12" t="s">
        <v>82</v>
      </c>
      <c r="B12" t="s">
        <v>83</v>
      </c>
      <c r="C12" t="s">
        <v>64</v>
      </c>
      <c r="D12">
        <v>1800</v>
      </c>
      <c r="E12">
        <v>1050</v>
      </c>
    </row>
    <row r="13" spans="1:5" x14ac:dyDescent="0.3">
      <c r="A13" t="s">
        <v>84</v>
      </c>
      <c r="B13" t="s">
        <v>85</v>
      </c>
      <c r="C13" t="s">
        <v>86</v>
      </c>
      <c r="D13">
        <v>3200</v>
      </c>
      <c r="E13">
        <v>2400</v>
      </c>
    </row>
    <row r="14" spans="1:5" x14ac:dyDescent="0.3">
      <c r="A14" t="s">
        <v>87</v>
      </c>
      <c r="B14" t="s">
        <v>88</v>
      </c>
      <c r="C14" t="s">
        <v>89</v>
      </c>
      <c r="D14">
        <v>24000</v>
      </c>
      <c r="E14">
        <v>19000</v>
      </c>
    </row>
    <row r="15" spans="1:5" x14ac:dyDescent="0.3">
      <c r="A15" t="s">
        <v>90</v>
      </c>
      <c r="B15" t="s">
        <v>91</v>
      </c>
      <c r="C15" t="s">
        <v>89</v>
      </c>
      <c r="D15">
        <v>32000</v>
      </c>
      <c r="E15">
        <v>25500</v>
      </c>
    </row>
    <row r="16" spans="1:5" x14ac:dyDescent="0.3">
      <c r="A16" t="s">
        <v>92</v>
      </c>
      <c r="B16" t="s">
        <v>93</v>
      </c>
      <c r="C16" t="s">
        <v>89</v>
      </c>
      <c r="D16">
        <v>1800</v>
      </c>
      <c r="E16">
        <v>1100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6B7E-2BED-4BAE-8D7E-736067508EB6}">
  <dimension ref="A1:J136"/>
  <sheetViews>
    <sheetView topLeftCell="A40" workbookViewId="0"/>
  </sheetViews>
  <sheetFormatPr defaultRowHeight="14.4" x14ac:dyDescent="0.3"/>
  <cols>
    <col min="1" max="1" width="10.77734375" bestFit="1" customWidth="1"/>
    <col min="2" max="2" width="12.88671875" bestFit="1" customWidth="1"/>
    <col min="3" max="3" width="14.109375" bestFit="1" customWidth="1"/>
    <col min="4" max="4" width="12.6640625" bestFit="1" customWidth="1"/>
    <col min="5" max="6" width="10.5546875" bestFit="1" customWidth="1"/>
    <col min="7" max="7" width="15.44140625" bestFit="1" customWidth="1"/>
    <col min="8" max="8" width="14.77734375" bestFit="1" customWidth="1"/>
    <col min="9" max="9" width="7.88671875" bestFit="1" customWidth="1"/>
    <col min="10" max="10" width="16.88671875" customWidth="1"/>
  </cols>
  <sheetData>
    <row r="1" spans="1:10" x14ac:dyDescent="0.3">
      <c r="A1" t="s">
        <v>115</v>
      </c>
      <c r="B1" t="s">
        <v>94</v>
      </c>
      <c r="C1" t="s">
        <v>0</v>
      </c>
      <c r="D1" t="s">
        <v>52</v>
      </c>
      <c r="E1" t="s">
        <v>95</v>
      </c>
      <c r="F1" t="s">
        <v>96</v>
      </c>
      <c r="G1" t="s">
        <v>97</v>
      </c>
      <c r="H1" t="s">
        <v>98</v>
      </c>
      <c r="I1" t="s">
        <v>99</v>
      </c>
      <c r="J1" t="s">
        <v>100</v>
      </c>
    </row>
    <row r="2" spans="1:10" x14ac:dyDescent="0.3">
      <c r="A2" t="s">
        <v>161</v>
      </c>
      <c r="B2" s="1">
        <v>46029</v>
      </c>
      <c r="C2" t="s">
        <v>40</v>
      </c>
      <c r="D2" t="s">
        <v>67</v>
      </c>
      <c r="E2">
        <v>1</v>
      </c>
      <c r="F2">
        <v>0.15</v>
      </c>
      <c r="G2">
        <v>15300</v>
      </c>
      <c r="H2">
        <v>14500</v>
      </c>
      <c r="I2">
        <v>800</v>
      </c>
      <c r="J2" t="s">
        <v>103</v>
      </c>
    </row>
    <row r="3" spans="1:10" x14ac:dyDescent="0.3">
      <c r="A3" t="s">
        <v>162</v>
      </c>
      <c r="B3" s="1">
        <v>46042</v>
      </c>
      <c r="C3" t="s">
        <v>40</v>
      </c>
      <c r="D3" t="s">
        <v>87</v>
      </c>
      <c r="E3">
        <v>7</v>
      </c>
      <c r="F3">
        <v>0.1</v>
      </c>
      <c r="G3">
        <v>151200</v>
      </c>
      <c r="H3">
        <v>133000</v>
      </c>
      <c r="I3">
        <v>18200</v>
      </c>
      <c r="J3" t="s">
        <v>102</v>
      </c>
    </row>
    <row r="4" spans="1:10" x14ac:dyDescent="0.3">
      <c r="A4" t="s">
        <v>163</v>
      </c>
      <c r="B4" s="1">
        <v>46051</v>
      </c>
      <c r="C4" t="s">
        <v>48</v>
      </c>
      <c r="D4" t="s">
        <v>60</v>
      </c>
      <c r="E4">
        <v>7</v>
      </c>
      <c r="F4">
        <v>0.15</v>
      </c>
      <c r="G4">
        <v>83300</v>
      </c>
      <c r="H4">
        <v>73500</v>
      </c>
      <c r="I4">
        <v>9800</v>
      </c>
      <c r="J4" t="s">
        <v>102</v>
      </c>
    </row>
    <row r="5" spans="1:10" x14ac:dyDescent="0.3">
      <c r="A5" t="s">
        <v>164</v>
      </c>
      <c r="B5" s="1">
        <v>46037</v>
      </c>
      <c r="C5" t="s">
        <v>34</v>
      </c>
      <c r="D5" t="s">
        <v>92</v>
      </c>
      <c r="E5">
        <v>6</v>
      </c>
      <c r="F5">
        <v>0.05</v>
      </c>
      <c r="G5">
        <v>10260</v>
      </c>
      <c r="H5">
        <v>6600</v>
      </c>
      <c r="I5">
        <v>3660</v>
      </c>
      <c r="J5" t="s">
        <v>165</v>
      </c>
    </row>
    <row r="6" spans="1:10" x14ac:dyDescent="0.3">
      <c r="A6" t="s">
        <v>166</v>
      </c>
      <c r="B6" s="1">
        <v>46033</v>
      </c>
      <c r="C6" t="s">
        <v>50</v>
      </c>
      <c r="D6" t="s">
        <v>67</v>
      </c>
      <c r="E6">
        <v>5</v>
      </c>
      <c r="F6">
        <v>0.05</v>
      </c>
      <c r="G6">
        <v>85500</v>
      </c>
      <c r="H6">
        <v>72500</v>
      </c>
      <c r="I6">
        <v>13000</v>
      </c>
      <c r="J6" t="s">
        <v>101</v>
      </c>
    </row>
    <row r="7" spans="1:10" x14ac:dyDescent="0.3">
      <c r="A7" t="s">
        <v>167</v>
      </c>
      <c r="B7" s="1">
        <v>46030</v>
      </c>
      <c r="C7" t="s">
        <v>11</v>
      </c>
      <c r="D7" t="s">
        <v>75</v>
      </c>
      <c r="E7">
        <v>3</v>
      </c>
      <c r="F7">
        <v>0.1</v>
      </c>
      <c r="G7">
        <v>5940</v>
      </c>
      <c r="H7">
        <v>3900</v>
      </c>
      <c r="I7">
        <v>2040</v>
      </c>
      <c r="J7" t="s">
        <v>102</v>
      </c>
    </row>
    <row r="8" spans="1:10" x14ac:dyDescent="0.3">
      <c r="A8" t="s">
        <v>168</v>
      </c>
      <c r="B8" s="1">
        <v>46051</v>
      </c>
      <c r="C8" t="s">
        <v>17</v>
      </c>
      <c r="D8" t="s">
        <v>79</v>
      </c>
      <c r="E8">
        <v>4</v>
      </c>
      <c r="F8">
        <v>0</v>
      </c>
      <c r="G8">
        <v>26000</v>
      </c>
      <c r="H8">
        <v>19200</v>
      </c>
      <c r="I8">
        <v>6800</v>
      </c>
      <c r="J8" t="s">
        <v>103</v>
      </c>
    </row>
    <row r="9" spans="1:10" x14ac:dyDescent="0.3">
      <c r="A9" t="s">
        <v>169</v>
      </c>
      <c r="B9" s="1">
        <v>46043</v>
      </c>
      <c r="C9" t="s">
        <v>48</v>
      </c>
      <c r="D9" t="s">
        <v>77</v>
      </c>
      <c r="E9">
        <v>6</v>
      </c>
      <c r="F9">
        <v>0</v>
      </c>
      <c r="G9">
        <v>21000</v>
      </c>
      <c r="H9">
        <v>13200</v>
      </c>
      <c r="I9">
        <v>7800</v>
      </c>
      <c r="J9" t="s">
        <v>102</v>
      </c>
    </row>
    <row r="10" spans="1:10" x14ac:dyDescent="0.3">
      <c r="A10" t="s">
        <v>170</v>
      </c>
      <c r="B10" s="1">
        <v>46029</v>
      </c>
      <c r="C10" t="s">
        <v>23</v>
      </c>
      <c r="D10" t="s">
        <v>84</v>
      </c>
      <c r="E10">
        <v>3</v>
      </c>
      <c r="F10">
        <v>0.15</v>
      </c>
      <c r="G10">
        <v>8160</v>
      </c>
      <c r="H10">
        <v>7200</v>
      </c>
      <c r="I10">
        <v>960</v>
      </c>
      <c r="J10" t="s">
        <v>171</v>
      </c>
    </row>
    <row r="11" spans="1:10" x14ac:dyDescent="0.3">
      <c r="A11" t="s">
        <v>172</v>
      </c>
      <c r="B11" s="1">
        <v>46048</v>
      </c>
      <c r="C11" t="s">
        <v>27</v>
      </c>
      <c r="D11" t="s">
        <v>84</v>
      </c>
      <c r="E11">
        <v>3</v>
      </c>
      <c r="F11">
        <v>0</v>
      </c>
      <c r="G11">
        <v>9600</v>
      </c>
      <c r="H11">
        <v>7200</v>
      </c>
      <c r="I11">
        <v>2400</v>
      </c>
      <c r="J11" t="s">
        <v>104</v>
      </c>
    </row>
    <row r="12" spans="1:10" x14ac:dyDescent="0.3">
      <c r="A12" t="s">
        <v>173</v>
      </c>
      <c r="B12" s="1">
        <v>46041</v>
      </c>
      <c r="C12" t="s">
        <v>23</v>
      </c>
      <c r="D12" t="s">
        <v>84</v>
      </c>
      <c r="E12">
        <v>1</v>
      </c>
      <c r="F12">
        <v>0.15</v>
      </c>
      <c r="G12">
        <v>2720</v>
      </c>
      <c r="H12">
        <v>2400</v>
      </c>
      <c r="I12">
        <v>320</v>
      </c>
      <c r="J12" t="s">
        <v>101</v>
      </c>
    </row>
    <row r="13" spans="1:10" x14ac:dyDescent="0.3">
      <c r="A13" t="s">
        <v>174</v>
      </c>
      <c r="B13" s="1">
        <v>46045</v>
      </c>
      <c r="C13" t="s">
        <v>46</v>
      </c>
      <c r="D13" t="s">
        <v>87</v>
      </c>
      <c r="E13">
        <v>3</v>
      </c>
      <c r="F13">
        <v>0.1</v>
      </c>
      <c r="G13">
        <v>64800</v>
      </c>
      <c r="H13">
        <v>57000</v>
      </c>
      <c r="I13">
        <v>7800</v>
      </c>
      <c r="J13" t="s">
        <v>104</v>
      </c>
    </row>
    <row r="14" spans="1:10" x14ac:dyDescent="0.3">
      <c r="A14" t="s">
        <v>175</v>
      </c>
      <c r="B14" s="1">
        <v>46033</v>
      </c>
      <c r="C14" t="s">
        <v>14</v>
      </c>
      <c r="D14" t="s">
        <v>77</v>
      </c>
      <c r="E14">
        <v>5</v>
      </c>
      <c r="F14">
        <v>0.1</v>
      </c>
      <c r="G14">
        <v>15750</v>
      </c>
      <c r="H14">
        <v>11000</v>
      </c>
      <c r="I14">
        <v>4750</v>
      </c>
      <c r="J14" t="s">
        <v>103</v>
      </c>
    </row>
    <row r="15" spans="1:10" x14ac:dyDescent="0.3">
      <c r="A15" t="s">
        <v>176</v>
      </c>
      <c r="B15" s="1">
        <v>46033</v>
      </c>
      <c r="C15" t="s">
        <v>38</v>
      </c>
      <c r="D15" t="s">
        <v>87</v>
      </c>
      <c r="E15">
        <v>7</v>
      </c>
      <c r="F15">
        <v>0.1</v>
      </c>
      <c r="G15">
        <v>151200</v>
      </c>
      <c r="H15">
        <v>133000</v>
      </c>
      <c r="I15">
        <v>18200</v>
      </c>
      <c r="J15" t="s">
        <v>102</v>
      </c>
    </row>
    <row r="16" spans="1:10" x14ac:dyDescent="0.3">
      <c r="A16" t="s">
        <v>177</v>
      </c>
      <c r="B16" s="1">
        <v>46046</v>
      </c>
      <c r="C16" t="s">
        <v>46</v>
      </c>
      <c r="D16" t="s">
        <v>92</v>
      </c>
      <c r="E16">
        <v>6</v>
      </c>
      <c r="F16">
        <v>0.1</v>
      </c>
      <c r="G16">
        <v>9720</v>
      </c>
      <c r="H16">
        <v>6600</v>
      </c>
      <c r="I16">
        <v>3120</v>
      </c>
      <c r="J16" t="s">
        <v>101</v>
      </c>
    </row>
    <row r="17" spans="1:10" x14ac:dyDescent="0.3">
      <c r="A17" t="s">
        <v>178</v>
      </c>
      <c r="B17" s="1">
        <v>46043</v>
      </c>
      <c r="C17" t="s">
        <v>27</v>
      </c>
      <c r="D17" t="s">
        <v>87</v>
      </c>
      <c r="E17">
        <v>3</v>
      </c>
      <c r="F17">
        <v>0.1</v>
      </c>
      <c r="G17">
        <v>64800</v>
      </c>
      <c r="H17">
        <v>57000</v>
      </c>
      <c r="I17">
        <v>7800</v>
      </c>
      <c r="J17" t="s">
        <v>102</v>
      </c>
    </row>
    <row r="18" spans="1:10" x14ac:dyDescent="0.3">
      <c r="A18" t="s">
        <v>179</v>
      </c>
      <c r="B18" s="1">
        <v>46026</v>
      </c>
      <c r="C18" t="s">
        <v>8</v>
      </c>
      <c r="D18" t="s">
        <v>57</v>
      </c>
      <c r="E18">
        <v>1</v>
      </c>
      <c r="F18">
        <v>0.05</v>
      </c>
      <c r="G18">
        <v>52250</v>
      </c>
      <c r="H18">
        <v>47000</v>
      </c>
      <c r="I18">
        <v>5250</v>
      </c>
      <c r="J18" t="s">
        <v>102</v>
      </c>
    </row>
    <row r="19" spans="1:10" x14ac:dyDescent="0.3">
      <c r="A19" t="s">
        <v>180</v>
      </c>
      <c r="B19" s="1">
        <v>46030</v>
      </c>
      <c r="C19" t="s">
        <v>50</v>
      </c>
      <c r="D19" t="s">
        <v>77</v>
      </c>
      <c r="E19">
        <v>5</v>
      </c>
      <c r="F19">
        <v>0</v>
      </c>
      <c r="G19">
        <v>17500</v>
      </c>
      <c r="H19">
        <v>11000</v>
      </c>
      <c r="I19">
        <v>6500</v>
      </c>
      <c r="J19" t="s">
        <v>103</v>
      </c>
    </row>
    <row r="20" spans="1:10" x14ac:dyDescent="0.3">
      <c r="A20" t="s">
        <v>181</v>
      </c>
      <c r="B20" s="1">
        <v>46046</v>
      </c>
      <c r="C20" t="s">
        <v>40</v>
      </c>
      <c r="D20" t="s">
        <v>73</v>
      </c>
      <c r="E20">
        <v>2</v>
      </c>
      <c r="F20">
        <v>0.1</v>
      </c>
      <c r="G20">
        <v>21600</v>
      </c>
      <c r="H20">
        <v>18000</v>
      </c>
      <c r="I20">
        <v>3600</v>
      </c>
      <c r="J20" t="s">
        <v>104</v>
      </c>
    </row>
    <row r="21" spans="1:10" x14ac:dyDescent="0.3">
      <c r="A21" t="s">
        <v>182</v>
      </c>
      <c r="B21" s="1">
        <v>46025</v>
      </c>
      <c r="C21" t="s">
        <v>23</v>
      </c>
      <c r="D21" t="s">
        <v>77</v>
      </c>
      <c r="E21">
        <v>7</v>
      </c>
      <c r="F21">
        <v>0</v>
      </c>
      <c r="G21">
        <v>24500</v>
      </c>
      <c r="H21">
        <v>15400</v>
      </c>
      <c r="I21">
        <v>9100</v>
      </c>
      <c r="J21" t="s">
        <v>104</v>
      </c>
    </row>
    <row r="22" spans="1:10" x14ac:dyDescent="0.3">
      <c r="A22" t="s">
        <v>183</v>
      </c>
      <c r="B22" s="1">
        <v>46044</v>
      </c>
      <c r="C22" t="s">
        <v>34</v>
      </c>
      <c r="D22" t="s">
        <v>75</v>
      </c>
      <c r="E22">
        <v>7</v>
      </c>
      <c r="F22">
        <v>0</v>
      </c>
      <c r="G22">
        <v>15400</v>
      </c>
      <c r="H22">
        <v>9100</v>
      </c>
      <c r="I22">
        <v>6300</v>
      </c>
      <c r="J22" t="s">
        <v>102</v>
      </c>
    </row>
    <row r="23" spans="1:10" x14ac:dyDescent="0.3">
      <c r="A23" t="s">
        <v>184</v>
      </c>
      <c r="B23" s="1">
        <v>46043</v>
      </c>
      <c r="C23" t="s">
        <v>25</v>
      </c>
      <c r="D23" t="s">
        <v>57</v>
      </c>
      <c r="E23">
        <v>6</v>
      </c>
      <c r="F23">
        <v>0</v>
      </c>
      <c r="G23">
        <v>330000</v>
      </c>
      <c r="H23">
        <v>282000</v>
      </c>
      <c r="I23">
        <v>48000</v>
      </c>
      <c r="J23" t="s">
        <v>101</v>
      </c>
    </row>
    <row r="24" spans="1:10" x14ac:dyDescent="0.3">
      <c r="A24" t="s">
        <v>185</v>
      </c>
      <c r="B24" s="1">
        <v>46024</v>
      </c>
      <c r="C24" t="s">
        <v>40</v>
      </c>
      <c r="D24" t="s">
        <v>84</v>
      </c>
      <c r="E24">
        <v>7</v>
      </c>
      <c r="F24">
        <v>0</v>
      </c>
      <c r="G24">
        <v>22400</v>
      </c>
      <c r="H24">
        <v>16800</v>
      </c>
      <c r="I24">
        <v>5600</v>
      </c>
      <c r="J24" t="s">
        <v>104</v>
      </c>
    </row>
    <row r="25" spans="1:10" x14ac:dyDescent="0.3">
      <c r="A25" t="s">
        <v>186</v>
      </c>
      <c r="B25" s="1">
        <v>46046</v>
      </c>
      <c r="C25" t="s">
        <v>11</v>
      </c>
      <c r="D25" t="s">
        <v>75</v>
      </c>
      <c r="E25">
        <v>3</v>
      </c>
      <c r="F25">
        <v>0.05</v>
      </c>
      <c r="G25">
        <v>6270</v>
      </c>
      <c r="H25">
        <v>3900</v>
      </c>
      <c r="I25">
        <v>2370</v>
      </c>
      <c r="J25" t="s">
        <v>101</v>
      </c>
    </row>
    <row r="26" spans="1:10" x14ac:dyDescent="0.3">
      <c r="A26" t="s">
        <v>187</v>
      </c>
      <c r="B26" s="1">
        <v>46034</v>
      </c>
      <c r="C26" t="s">
        <v>38</v>
      </c>
      <c r="D26" t="s">
        <v>75</v>
      </c>
      <c r="E26">
        <v>1</v>
      </c>
      <c r="F26">
        <v>0</v>
      </c>
      <c r="G26">
        <v>2200</v>
      </c>
      <c r="H26">
        <v>1300</v>
      </c>
      <c r="I26">
        <v>900</v>
      </c>
      <c r="J26" t="s">
        <v>104</v>
      </c>
    </row>
    <row r="27" spans="1:10" x14ac:dyDescent="0.3">
      <c r="A27" t="s">
        <v>188</v>
      </c>
      <c r="B27" s="1">
        <v>46052</v>
      </c>
      <c r="C27" t="s">
        <v>44</v>
      </c>
      <c r="D27" t="s">
        <v>92</v>
      </c>
      <c r="E27">
        <v>7</v>
      </c>
      <c r="F27">
        <v>0.1</v>
      </c>
      <c r="G27">
        <v>11340</v>
      </c>
      <c r="H27">
        <v>7700</v>
      </c>
      <c r="I27">
        <v>3640</v>
      </c>
      <c r="J27" t="s">
        <v>101</v>
      </c>
    </row>
    <row r="28" spans="1:10" x14ac:dyDescent="0.3">
      <c r="A28" t="s">
        <v>189</v>
      </c>
      <c r="B28" s="1">
        <v>46028</v>
      </c>
      <c r="C28" t="s">
        <v>14</v>
      </c>
      <c r="D28" t="s">
        <v>82</v>
      </c>
      <c r="E28">
        <v>7</v>
      </c>
      <c r="F28">
        <v>0.15</v>
      </c>
      <c r="G28">
        <v>10710</v>
      </c>
      <c r="H28">
        <v>7350</v>
      </c>
      <c r="I28">
        <v>3360</v>
      </c>
      <c r="J28" t="s">
        <v>103</v>
      </c>
    </row>
    <row r="29" spans="1:10" x14ac:dyDescent="0.3">
      <c r="A29" t="s">
        <v>190</v>
      </c>
      <c r="B29" s="1">
        <v>46024</v>
      </c>
      <c r="C29" t="s">
        <v>46</v>
      </c>
      <c r="D29" t="s">
        <v>62</v>
      </c>
      <c r="E29">
        <v>2</v>
      </c>
      <c r="F29">
        <v>0</v>
      </c>
      <c r="G29">
        <v>2400</v>
      </c>
      <c r="H29">
        <v>1400</v>
      </c>
      <c r="I29">
        <v>1000</v>
      </c>
      <c r="J29" t="s">
        <v>101</v>
      </c>
    </row>
    <row r="30" spans="1:10" x14ac:dyDescent="0.3">
      <c r="A30" t="s">
        <v>191</v>
      </c>
      <c r="B30" s="1">
        <v>46050</v>
      </c>
      <c r="C30" t="s">
        <v>25</v>
      </c>
      <c r="D30" t="s">
        <v>57</v>
      </c>
      <c r="E30">
        <v>2</v>
      </c>
      <c r="F30">
        <v>0.05</v>
      </c>
      <c r="G30">
        <v>104500</v>
      </c>
      <c r="H30">
        <v>94000</v>
      </c>
      <c r="I30">
        <v>10500</v>
      </c>
      <c r="J30" t="s">
        <v>103</v>
      </c>
    </row>
    <row r="31" spans="1:10" x14ac:dyDescent="0.3">
      <c r="A31" t="s">
        <v>192</v>
      </c>
      <c r="B31" s="1">
        <v>46043</v>
      </c>
      <c r="C31" t="s">
        <v>14</v>
      </c>
      <c r="D31" t="s">
        <v>75</v>
      </c>
      <c r="E31">
        <v>4</v>
      </c>
      <c r="F31">
        <v>0.05</v>
      </c>
      <c r="G31">
        <v>8360</v>
      </c>
      <c r="H31">
        <v>5200</v>
      </c>
      <c r="I31">
        <v>3160</v>
      </c>
      <c r="J31" t="s">
        <v>103</v>
      </c>
    </row>
    <row r="32" spans="1:10" x14ac:dyDescent="0.3">
      <c r="A32" t="s">
        <v>193</v>
      </c>
      <c r="B32" s="1">
        <v>46023</v>
      </c>
      <c r="C32" t="s">
        <v>8</v>
      </c>
      <c r="D32" t="s">
        <v>62</v>
      </c>
      <c r="E32">
        <v>5</v>
      </c>
      <c r="F32">
        <v>0</v>
      </c>
      <c r="G32">
        <v>6000</v>
      </c>
      <c r="H32">
        <v>3500</v>
      </c>
      <c r="I32">
        <v>2500</v>
      </c>
      <c r="J32" t="s">
        <v>101</v>
      </c>
    </row>
    <row r="33" spans="1:10" x14ac:dyDescent="0.3">
      <c r="A33" t="s">
        <v>194</v>
      </c>
      <c r="B33" s="1">
        <v>46034</v>
      </c>
      <c r="C33" t="s">
        <v>21</v>
      </c>
      <c r="D33" t="s">
        <v>62</v>
      </c>
      <c r="E33">
        <v>3</v>
      </c>
      <c r="F33">
        <v>0.15</v>
      </c>
      <c r="G33">
        <v>3060</v>
      </c>
      <c r="H33">
        <v>2100</v>
      </c>
      <c r="I33">
        <v>960</v>
      </c>
      <c r="J33" t="s">
        <v>103</v>
      </c>
    </row>
    <row r="34" spans="1:10" x14ac:dyDescent="0.3">
      <c r="A34" t="s">
        <v>195</v>
      </c>
      <c r="B34" s="1">
        <v>46048</v>
      </c>
      <c r="C34" t="s">
        <v>30</v>
      </c>
      <c r="D34" t="s">
        <v>57</v>
      </c>
      <c r="E34">
        <v>7</v>
      </c>
      <c r="F34">
        <v>0</v>
      </c>
      <c r="G34">
        <v>385000</v>
      </c>
      <c r="H34">
        <v>329000</v>
      </c>
      <c r="I34">
        <v>56000</v>
      </c>
      <c r="J34" t="s">
        <v>102</v>
      </c>
    </row>
    <row r="35" spans="1:10" x14ac:dyDescent="0.3">
      <c r="A35" t="s">
        <v>196</v>
      </c>
      <c r="B35" s="1">
        <v>46044</v>
      </c>
      <c r="C35" t="s">
        <v>14</v>
      </c>
      <c r="D35" t="s">
        <v>82</v>
      </c>
      <c r="E35">
        <v>7</v>
      </c>
      <c r="F35">
        <v>0.05</v>
      </c>
      <c r="G35">
        <v>11970</v>
      </c>
      <c r="H35">
        <v>7350</v>
      </c>
      <c r="I35">
        <v>4620</v>
      </c>
      <c r="J35" t="s">
        <v>103</v>
      </c>
    </row>
    <row r="36" spans="1:10" x14ac:dyDescent="0.3">
      <c r="A36" t="s">
        <v>197</v>
      </c>
      <c r="B36" s="1">
        <v>46051</v>
      </c>
      <c r="C36" t="s">
        <v>46</v>
      </c>
      <c r="D36" t="s">
        <v>67</v>
      </c>
      <c r="E36">
        <v>1</v>
      </c>
      <c r="F36">
        <v>0</v>
      </c>
      <c r="G36">
        <v>18000</v>
      </c>
      <c r="H36">
        <v>14500</v>
      </c>
      <c r="I36">
        <v>3500</v>
      </c>
      <c r="J36" t="s">
        <v>104</v>
      </c>
    </row>
    <row r="37" spans="1:10" x14ac:dyDescent="0.3">
      <c r="A37" t="s">
        <v>198</v>
      </c>
      <c r="B37" s="1">
        <v>46034</v>
      </c>
      <c r="C37" t="s">
        <v>34</v>
      </c>
      <c r="D37" t="s">
        <v>79</v>
      </c>
      <c r="E37">
        <v>4</v>
      </c>
      <c r="F37">
        <v>0.1</v>
      </c>
      <c r="G37">
        <v>23400</v>
      </c>
      <c r="H37">
        <v>19200</v>
      </c>
      <c r="I37">
        <v>4200</v>
      </c>
      <c r="J37" t="s">
        <v>101</v>
      </c>
    </row>
    <row r="38" spans="1:10" x14ac:dyDescent="0.3">
      <c r="A38" t="s">
        <v>199</v>
      </c>
      <c r="B38" s="1">
        <v>46047</v>
      </c>
      <c r="C38" t="s">
        <v>8</v>
      </c>
      <c r="D38" t="s">
        <v>73</v>
      </c>
      <c r="E38">
        <v>5</v>
      </c>
      <c r="F38">
        <v>0.05</v>
      </c>
      <c r="G38">
        <v>57000</v>
      </c>
      <c r="H38">
        <v>45000</v>
      </c>
      <c r="I38">
        <v>12000</v>
      </c>
      <c r="J38" t="s">
        <v>102</v>
      </c>
    </row>
    <row r="39" spans="1:10" x14ac:dyDescent="0.3">
      <c r="A39" t="s">
        <v>200</v>
      </c>
      <c r="B39" s="1">
        <v>46039</v>
      </c>
      <c r="C39" t="s">
        <v>30</v>
      </c>
      <c r="D39" t="s">
        <v>79</v>
      </c>
      <c r="E39">
        <v>4</v>
      </c>
      <c r="F39">
        <v>0</v>
      </c>
      <c r="G39">
        <v>26000</v>
      </c>
      <c r="H39">
        <v>19200</v>
      </c>
      <c r="I39">
        <v>6800</v>
      </c>
      <c r="J39" t="s">
        <v>101</v>
      </c>
    </row>
    <row r="40" spans="1:10" x14ac:dyDescent="0.3">
      <c r="A40" t="s">
        <v>201</v>
      </c>
      <c r="B40" s="1">
        <v>46049</v>
      </c>
      <c r="C40" t="s">
        <v>14</v>
      </c>
      <c r="D40" t="s">
        <v>77</v>
      </c>
      <c r="E40">
        <v>6</v>
      </c>
      <c r="F40">
        <v>0.1</v>
      </c>
      <c r="G40">
        <v>18900</v>
      </c>
      <c r="H40">
        <v>13200</v>
      </c>
      <c r="I40">
        <v>5700</v>
      </c>
      <c r="J40" t="s">
        <v>104</v>
      </c>
    </row>
    <row r="41" spans="1:10" x14ac:dyDescent="0.3">
      <c r="A41" t="s">
        <v>202</v>
      </c>
      <c r="B41" s="1">
        <v>46049</v>
      </c>
      <c r="C41" t="s">
        <v>38</v>
      </c>
      <c r="D41" t="s">
        <v>84</v>
      </c>
      <c r="E41">
        <v>5</v>
      </c>
      <c r="F41">
        <v>0</v>
      </c>
      <c r="G41">
        <v>16000</v>
      </c>
      <c r="H41">
        <v>12000</v>
      </c>
      <c r="I41">
        <v>4000</v>
      </c>
      <c r="J41" t="s">
        <v>104</v>
      </c>
    </row>
    <row r="42" spans="1:10" x14ac:dyDescent="0.3">
      <c r="A42" t="s">
        <v>203</v>
      </c>
      <c r="B42" s="1">
        <v>46053</v>
      </c>
      <c r="C42" t="s">
        <v>42</v>
      </c>
      <c r="D42" t="s">
        <v>73</v>
      </c>
      <c r="E42">
        <v>7</v>
      </c>
      <c r="F42">
        <v>0</v>
      </c>
      <c r="G42">
        <v>84000</v>
      </c>
      <c r="H42">
        <v>63000</v>
      </c>
      <c r="I42">
        <v>21000</v>
      </c>
      <c r="J42" t="s">
        <v>104</v>
      </c>
    </row>
    <row r="43" spans="1:10" x14ac:dyDescent="0.3">
      <c r="A43" t="s">
        <v>204</v>
      </c>
      <c r="B43" s="1">
        <v>46032</v>
      </c>
      <c r="C43" t="s">
        <v>40</v>
      </c>
      <c r="D43" t="s">
        <v>77</v>
      </c>
      <c r="E43">
        <v>7</v>
      </c>
      <c r="F43">
        <v>0</v>
      </c>
      <c r="G43">
        <v>24500</v>
      </c>
      <c r="H43">
        <v>15400</v>
      </c>
      <c r="I43">
        <v>9100</v>
      </c>
      <c r="J43" t="s">
        <v>103</v>
      </c>
    </row>
    <row r="44" spans="1:10" x14ac:dyDescent="0.3">
      <c r="A44" t="s">
        <v>205</v>
      </c>
      <c r="B44" s="1">
        <v>46050</v>
      </c>
      <c r="C44" t="s">
        <v>25</v>
      </c>
      <c r="D44" t="s">
        <v>75</v>
      </c>
      <c r="E44">
        <v>5</v>
      </c>
      <c r="F44">
        <v>0.1</v>
      </c>
      <c r="G44">
        <v>9900</v>
      </c>
      <c r="H44">
        <v>6500</v>
      </c>
      <c r="I44">
        <v>3400</v>
      </c>
      <c r="J44" t="s">
        <v>103</v>
      </c>
    </row>
    <row r="45" spans="1:10" x14ac:dyDescent="0.3">
      <c r="A45" t="s">
        <v>206</v>
      </c>
      <c r="B45" s="1">
        <v>46050</v>
      </c>
      <c r="C45" t="s">
        <v>38</v>
      </c>
      <c r="D45" t="s">
        <v>84</v>
      </c>
      <c r="E45">
        <v>7</v>
      </c>
      <c r="F45">
        <v>0.1</v>
      </c>
      <c r="G45">
        <v>20160</v>
      </c>
      <c r="H45">
        <v>16800</v>
      </c>
      <c r="I45">
        <v>3360</v>
      </c>
      <c r="J45" t="s">
        <v>101</v>
      </c>
    </row>
    <row r="46" spans="1:10" x14ac:dyDescent="0.3">
      <c r="A46" t="s">
        <v>207</v>
      </c>
      <c r="B46" s="1">
        <v>46038</v>
      </c>
      <c r="C46" t="s">
        <v>25</v>
      </c>
      <c r="D46" t="s">
        <v>60</v>
      </c>
      <c r="E46">
        <v>3</v>
      </c>
      <c r="F46">
        <v>0</v>
      </c>
      <c r="G46">
        <v>42000</v>
      </c>
      <c r="H46">
        <v>31500</v>
      </c>
      <c r="I46">
        <v>10500</v>
      </c>
      <c r="J46" t="s">
        <v>101</v>
      </c>
    </row>
    <row r="47" spans="1:10" x14ac:dyDescent="0.3">
      <c r="A47" t="s">
        <v>116</v>
      </c>
      <c r="B47" s="1">
        <v>46054</v>
      </c>
      <c r="C47" t="s">
        <v>34</v>
      </c>
      <c r="D47" t="s">
        <v>70</v>
      </c>
      <c r="E47">
        <v>3</v>
      </c>
      <c r="F47">
        <v>0</v>
      </c>
      <c r="G47">
        <v>25500</v>
      </c>
      <c r="H47">
        <v>19500</v>
      </c>
      <c r="I47">
        <v>6000</v>
      </c>
      <c r="J47" t="s">
        <v>102</v>
      </c>
    </row>
    <row r="48" spans="1:10" x14ac:dyDescent="0.3">
      <c r="A48" t="s">
        <v>117</v>
      </c>
      <c r="B48" s="1">
        <v>46062</v>
      </c>
      <c r="C48" t="s">
        <v>17</v>
      </c>
      <c r="D48" t="s">
        <v>73</v>
      </c>
      <c r="E48">
        <v>4</v>
      </c>
      <c r="F48">
        <v>0.1</v>
      </c>
      <c r="G48">
        <v>43200</v>
      </c>
      <c r="H48">
        <v>36000</v>
      </c>
      <c r="I48">
        <v>7200</v>
      </c>
      <c r="J48" t="s">
        <v>104</v>
      </c>
    </row>
    <row r="49" spans="1:10" x14ac:dyDescent="0.3">
      <c r="A49" t="s">
        <v>118</v>
      </c>
      <c r="B49" s="1">
        <v>46081</v>
      </c>
      <c r="C49" t="s">
        <v>17</v>
      </c>
      <c r="D49" t="s">
        <v>70</v>
      </c>
      <c r="E49">
        <v>1</v>
      </c>
      <c r="F49">
        <v>0.15</v>
      </c>
      <c r="G49">
        <v>7225</v>
      </c>
      <c r="H49">
        <v>6500</v>
      </c>
      <c r="I49">
        <v>725</v>
      </c>
      <c r="J49" t="s">
        <v>103</v>
      </c>
    </row>
    <row r="50" spans="1:10" x14ac:dyDescent="0.3">
      <c r="A50" t="s">
        <v>119</v>
      </c>
      <c r="B50" s="1">
        <v>46080</v>
      </c>
      <c r="C50" t="s">
        <v>27</v>
      </c>
      <c r="D50" t="s">
        <v>90</v>
      </c>
      <c r="E50">
        <v>4</v>
      </c>
      <c r="F50">
        <v>0.1</v>
      </c>
      <c r="G50">
        <v>115200</v>
      </c>
      <c r="H50">
        <v>102000</v>
      </c>
      <c r="I50">
        <v>13200</v>
      </c>
      <c r="J50" t="s">
        <v>103</v>
      </c>
    </row>
    <row r="51" spans="1:10" x14ac:dyDescent="0.3">
      <c r="A51" t="s">
        <v>120</v>
      </c>
      <c r="B51" s="1">
        <v>46059</v>
      </c>
      <c r="C51" t="s">
        <v>27</v>
      </c>
      <c r="D51" t="s">
        <v>90</v>
      </c>
      <c r="E51">
        <v>7</v>
      </c>
      <c r="F51">
        <v>0</v>
      </c>
      <c r="G51">
        <v>224000</v>
      </c>
      <c r="H51">
        <v>178500</v>
      </c>
      <c r="I51">
        <v>45500</v>
      </c>
      <c r="J51" t="s">
        <v>102</v>
      </c>
    </row>
    <row r="52" spans="1:10" x14ac:dyDescent="0.3">
      <c r="A52" t="s">
        <v>121</v>
      </c>
      <c r="B52" s="1">
        <v>46069</v>
      </c>
      <c r="C52" t="s">
        <v>11</v>
      </c>
      <c r="D52" t="s">
        <v>70</v>
      </c>
      <c r="E52">
        <v>5</v>
      </c>
      <c r="F52">
        <v>0.1</v>
      </c>
      <c r="G52">
        <v>38250</v>
      </c>
      <c r="H52">
        <v>32500</v>
      </c>
      <c r="I52">
        <v>5750</v>
      </c>
      <c r="J52" t="s">
        <v>101</v>
      </c>
    </row>
    <row r="53" spans="1:10" x14ac:dyDescent="0.3">
      <c r="A53" t="s">
        <v>122</v>
      </c>
      <c r="B53" s="1">
        <v>46056</v>
      </c>
      <c r="C53" t="s">
        <v>48</v>
      </c>
      <c r="D53" t="s">
        <v>70</v>
      </c>
      <c r="E53">
        <v>5</v>
      </c>
      <c r="F53">
        <v>0.05</v>
      </c>
      <c r="G53">
        <v>40375</v>
      </c>
      <c r="H53">
        <v>32500</v>
      </c>
      <c r="I53">
        <v>7875</v>
      </c>
      <c r="J53" t="s">
        <v>102</v>
      </c>
    </row>
    <row r="54" spans="1:10" x14ac:dyDescent="0.3">
      <c r="A54" t="s">
        <v>123</v>
      </c>
      <c r="B54" s="1">
        <v>46073</v>
      </c>
      <c r="C54" t="s">
        <v>42</v>
      </c>
      <c r="D54" t="s">
        <v>87</v>
      </c>
      <c r="E54">
        <v>7</v>
      </c>
      <c r="F54">
        <v>0.1</v>
      </c>
      <c r="G54">
        <v>151200</v>
      </c>
      <c r="H54">
        <v>133000</v>
      </c>
      <c r="I54">
        <v>18200</v>
      </c>
      <c r="J54" t="s">
        <v>102</v>
      </c>
    </row>
    <row r="55" spans="1:10" x14ac:dyDescent="0.3">
      <c r="A55" t="s">
        <v>124</v>
      </c>
      <c r="B55" s="1">
        <v>46081</v>
      </c>
      <c r="C55" t="s">
        <v>42</v>
      </c>
      <c r="D55" t="s">
        <v>62</v>
      </c>
      <c r="E55">
        <v>1</v>
      </c>
      <c r="F55">
        <v>0</v>
      </c>
      <c r="G55">
        <v>1200</v>
      </c>
      <c r="H55">
        <v>700</v>
      </c>
      <c r="I55">
        <v>500</v>
      </c>
      <c r="J55" t="s">
        <v>104</v>
      </c>
    </row>
    <row r="56" spans="1:10" x14ac:dyDescent="0.3">
      <c r="A56" t="s">
        <v>125</v>
      </c>
      <c r="B56" s="1">
        <v>46080</v>
      </c>
      <c r="C56" t="s">
        <v>11</v>
      </c>
      <c r="D56" t="s">
        <v>70</v>
      </c>
      <c r="E56">
        <v>3</v>
      </c>
      <c r="F56">
        <v>0</v>
      </c>
      <c r="G56">
        <v>25500</v>
      </c>
      <c r="H56">
        <v>19500</v>
      </c>
      <c r="I56">
        <v>6000</v>
      </c>
      <c r="J56" t="s">
        <v>104</v>
      </c>
    </row>
    <row r="57" spans="1:10" x14ac:dyDescent="0.3">
      <c r="A57" t="s">
        <v>126</v>
      </c>
      <c r="B57" s="1">
        <v>46057</v>
      </c>
      <c r="C57" t="s">
        <v>50</v>
      </c>
      <c r="D57" t="s">
        <v>75</v>
      </c>
      <c r="E57">
        <v>2</v>
      </c>
      <c r="F57">
        <v>0.05</v>
      </c>
      <c r="G57">
        <v>4180</v>
      </c>
      <c r="H57">
        <v>2600</v>
      </c>
      <c r="I57">
        <v>1580</v>
      </c>
      <c r="J57" t="s">
        <v>102</v>
      </c>
    </row>
    <row r="58" spans="1:10" x14ac:dyDescent="0.3">
      <c r="A58" t="s">
        <v>127</v>
      </c>
      <c r="B58" s="1">
        <v>46072</v>
      </c>
      <c r="C58" t="s">
        <v>4</v>
      </c>
      <c r="D58" t="s">
        <v>82</v>
      </c>
      <c r="E58">
        <v>1</v>
      </c>
      <c r="F58">
        <v>0</v>
      </c>
      <c r="G58">
        <v>1800</v>
      </c>
      <c r="H58">
        <v>1050</v>
      </c>
      <c r="I58">
        <v>750</v>
      </c>
      <c r="J58" t="s">
        <v>103</v>
      </c>
    </row>
    <row r="59" spans="1:10" x14ac:dyDescent="0.3">
      <c r="A59" t="s">
        <v>128</v>
      </c>
      <c r="B59" s="1">
        <v>46079</v>
      </c>
      <c r="C59" t="s">
        <v>50</v>
      </c>
      <c r="D59" t="s">
        <v>82</v>
      </c>
      <c r="E59">
        <v>2</v>
      </c>
      <c r="F59">
        <v>0</v>
      </c>
      <c r="G59">
        <v>3600</v>
      </c>
      <c r="H59">
        <v>2100</v>
      </c>
      <c r="I59">
        <v>1500</v>
      </c>
      <c r="J59" t="s">
        <v>104</v>
      </c>
    </row>
    <row r="60" spans="1:10" x14ac:dyDescent="0.3">
      <c r="A60" t="s">
        <v>129</v>
      </c>
      <c r="B60" s="1">
        <v>46056</v>
      </c>
      <c r="C60" t="s">
        <v>32</v>
      </c>
      <c r="D60" t="s">
        <v>60</v>
      </c>
      <c r="E60">
        <v>7</v>
      </c>
      <c r="F60">
        <v>0.15</v>
      </c>
      <c r="G60">
        <v>83300</v>
      </c>
      <c r="H60">
        <v>73500</v>
      </c>
      <c r="I60">
        <v>9800</v>
      </c>
      <c r="J60" t="s">
        <v>101</v>
      </c>
    </row>
    <row r="61" spans="1:10" x14ac:dyDescent="0.3">
      <c r="A61" t="s">
        <v>130</v>
      </c>
      <c r="B61" s="1">
        <v>46072</v>
      </c>
      <c r="C61" t="s">
        <v>44</v>
      </c>
      <c r="D61" t="s">
        <v>67</v>
      </c>
      <c r="E61">
        <v>6</v>
      </c>
      <c r="F61">
        <v>0</v>
      </c>
      <c r="G61">
        <v>108000</v>
      </c>
      <c r="H61">
        <v>87000</v>
      </c>
      <c r="I61">
        <v>21000</v>
      </c>
      <c r="J61" t="s">
        <v>104</v>
      </c>
    </row>
    <row r="62" spans="1:10" x14ac:dyDescent="0.3">
      <c r="A62" t="s">
        <v>131</v>
      </c>
      <c r="B62" s="1">
        <v>46073</v>
      </c>
      <c r="C62" t="s">
        <v>25</v>
      </c>
      <c r="D62" t="s">
        <v>90</v>
      </c>
      <c r="E62">
        <v>2</v>
      </c>
      <c r="F62">
        <v>0</v>
      </c>
      <c r="G62">
        <v>64000</v>
      </c>
      <c r="H62">
        <v>51000</v>
      </c>
      <c r="I62">
        <v>13000</v>
      </c>
      <c r="J62" t="s">
        <v>104</v>
      </c>
    </row>
    <row r="63" spans="1:10" x14ac:dyDescent="0.3">
      <c r="A63" t="s">
        <v>132</v>
      </c>
      <c r="B63" s="1">
        <v>46060</v>
      </c>
      <c r="C63" t="s">
        <v>14</v>
      </c>
      <c r="D63" t="s">
        <v>57</v>
      </c>
      <c r="E63">
        <v>3</v>
      </c>
      <c r="F63">
        <v>0</v>
      </c>
      <c r="G63">
        <v>165000</v>
      </c>
      <c r="H63">
        <v>141000</v>
      </c>
      <c r="I63">
        <v>24000</v>
      </c>
      <c r="J63" t="s">
        <v>101</v>
      </c>
    </row>
    <row r="64" spans="1:10" x14ac:dyDescent="0.3">
      <c r="A64" t="s">
        <v>133</v>
      </c>
      <c r="B64" s="1">
        <v>46073</v>
      </c>
      <c r="C64" t="s">
        <v>21</v>
      </c>
      <c r="D64" t="s">
        <v>84</v>
      </c>
      <c r="E64">
        <v>6</v>
      </c>
      <c r="F64">
        <v>0.1</v>
      </c>
      <c r="G64">
        <v>17280</v>
      </c>
      <c r="H64">
        <v>14400</v>
      </c>
      <c r="I64">
        <v>2880</v>
      </c>
      <c r="J64" t="s">
        <v>102</v>
      </c>
    </row>
    <row r="65" spans="1:10" x14ac:dyDescent="0.3">
      <c r="A65" t="s">
        <v>134</v>
      </c>
      <c r="B65" s="1">
        <v>46062</v>
      </c>
      <c r="C65" t="s">
        <v>25</v>
      </c>
      <c r="D65" t="s">
        <v>92</v>
      </c>
      <c r="E65">
        <v>2</v>
      </c>
      <c r="F65">
        <v>0</v>
      </c>
      <c r="G65">
        <v>3600</v>
      </c>
      <c r="H65">
        <v>2200</v>
      </c>
      <c r="I65">
        <v>1400</v>
      </c>
      <c r="J65" t="s">
        <v>101</v>
      </c>
    </row>
    <row r="66" spans="1:10" x14ac:dyDescent="0.3">
      <c r="A66" t="s">
        <v>135</v>
      </c>
      <c r="B66" s="1">
        <v>46054</v>
      </c>
      <c r="C66" t="s">
        <v>50</v>
      </c>
      <c r="D66" t="s">
        <v>57</v>
      </c>
      <c r="E66">
        <v>7</v>
      </c>
      <c r="F66">
        <v>0.05</v>
      </c>
      <c r="G66">
        <v>365750</v>
      </c>
      <c r="H66">
        <v>329000</v>
      </c>
      <c r="I66">
        <v>36750</v>
      </c>
      <c r="J66" t="s">
        <v>102</v>
      </c>
    </row>
    <row r="67" spans="1:10" x14ac:dyDescent="0.3">
      <c r="A67" t="s">
        <v>136</v>
      </c>
      <c r="B67" s="1">
        <v>46061</v>
      </c>
      <c r="C67" t="s">
        <v>11</v>
      </c>
      <c r="D67" t="s">
        <v>67</v>
      </c>
      <c r="E67">
        <v>6</v>
      </c>
      <c r="F67">
        <v>0.1</v>
      </c>
      <c r="G67">
        <v>97200</v>
      </c>
      <c r="H67">
        <v>87000</v>
      </c>
      <c r="I67">
        <v>10200</v>
      </c>
      <c r="J67" t="s">
        <v>102</v>
      </c>
    </row>
    <row r="68" spans="1:10" x14ac:dyDescent="0.3">
      <c r="A68" t="s">
        <v>137</v>
      </c>
      <c r="B68" s="1">
        <v>46060</v>
      </c>
      <c r="C68" t="s">
        <v>42</v>
      </c>
      <c r="D68" t="s">
        <v>84</v>
      </c>
      <c r="E68">
        <v>7</v>
      </c>
      <c r="F68">
        <v>0.15</v>
      </c>
      <c r="G68">
        <v>19040</v>
      </c>
      <c r="H68">
        <v>16800</v>
      </c>
      <c r="I68">
        <v>2240</v>
      </c>
      <c r="J68" t="s">
        <v>102</v>
      </c>
    </row>
    <row r="69" spans="1:10" x14ac:dyDescent="0.3">
      <c r="A69" t="s">
        <v>138</v>
      </c>
      <c r="B69" s="1">
        <v>46071</v>
      </c>
      <c r="C69" t="s">
        <v>11</v>
      </c>
      <c r="D69" t="s">
        <v>87</v>
      </c>
      <c r="E69">
        <v>2</v>
      </c>
      <c r="F69">
        <v>0</v>
      </c>
      <c r="G69">
        <v>48000</v>
      </c>
      <c r="H69">
        <v>38000</v>
      </c>
      <c r="I69">
        <v>10000</v>
      </c>
      <c r="J69" t="s">
        <v>101</v>
      </c>
    </row>
    <row r="70" spans="1:10" x14ac:dyDescent="0.3">
      <c r="A70" t="s">
        <v>139</v>
      </c>
      <c r="B70" s="1">
        <v>46061</v>
      </c>
      <c r="C70" t="s">
        <v>46</v>
      </c>
      <c r="D70" t="s">
        <v>62</v>
      </c>
      <c r="E70">
        <v>7</v>
      </c>
      <c r="F70">
        <v>0.15</v>
      </c>
      <c r="G70">
        <v>7140</v>
      </c>
      <c r="H70">
        <v>4900</v>
      </c>
      <c r="I70">
        <v>2240</v>
      </c>
      <c r="J70" t="s">
        <v>102</v>
      </c>
    </row>
    <row r="71" spans="1:10" x14ac:dyDescent="0.3">
      <c r="A71" t="s">
        <v>140</v>
      </c>
      <c r="B71" s="1">
        <v>46054</v>
      </c>
      <c r="C71" t="s">
        <v>38</v>
      </c>
      <c r="D71" t="s">
        <v>65</v>
      </c>
      <c r="E71">
        <v>3</v>
      </c>
      <c r="F71">
        <v>0.1</v>
      </c>
      <c r="G71">
        <v>1890</v>
      </c>
      <c r="H71">
        <v>1140</v>
      </c>
      <c r="I71">
        <v>750</v>
      </c>
      <c r="J71" t="s">
        <v>103</v>
      </c>
    </row>
    <row r="72" spans="1:10" x14ac:dyDescent="0.3">
      <c r="A72" t="s">
        <v>141</v>
      </c>
      <c r="B72" s="1">
        <v>46064</v>
      </c>
      <c r="C72" t="s">
        <v>46</v>
      </c>
      <c r="D72" t="s">
        <v>62</v>
      </c>
      <c r="E72">
        <v>2</v>
      </c>
      <c r="F72">
        <v>0.1</v>
      </c>
      <c r="G72">
        <v>2160</v>
      </c>
      <c r="H72">
        <v>1400</v>
      </c>
      <c r="I72">
        <v>760</v>
      </c>
      <c r="J72" t="s">
        <v>101</v>
      </c>
    </row>
    <row r="73" spans="1:10" x14ac:dyDescent="0.3">
      <c r="A73" t="s">
        <v>142</v>
      </c>
      <c r="B73" s="1">
        <v>46081</v>
      </c>
      <c r="C73" t="s">
        <v>8</v>
      </c>
      <c r="D73" t="s">
        <v>57</v>
      </c>
      <c r="E73">
        <v>2</v>
      </c>
      <c r="F73">
        <v>0.1</v>
      </c>
      <c r="G73">
        <v>99000</v>
      </c>
      <c r="H73">
        <v>94000</v>
      </c>
      <c r="I73">
        <v>5000</v>
      </c>
      <c r="J73" t="s">
        <v>103</v>
      </c>
    </row>
    <row r="74" spans="1:10" x14ac:dyDescent="0.3">
      <c r="A74" t="s">
        <v>143</v>
      </c>
      <c r="B74" s="1">
        <v>46078</v>
      </c>
      <c r="C74" t="s">
        <v>11</v>
      </c>
      <c r="D74" t="s">
        <v>57</v>
      </c>
      <c r="E74">
        <v>2</v>
      </c>
      <c r="F74">
        <v>0.15</v>
      </c>
      <c r="G74">
        <v>93500</v>
      </c>
      <c r="H74">
        <v>94000</v>
      </c>
      <c r="I74">
        <v>-500</v>
      </c>
      <c r="J74" t="s">
        <v>102</v>
      </c>
    </row>
    <row r="75" spans="1:10" x14ac:dyDescent="0.3">
      <c r="A75" t="s">
        <v>144</v>
      </c>
      <c r="B75" s="1">
        <v>46078</v>
      </c>
      <c r="C75" t="s">
        <v>42</v>
      </c>
      <c r="D75" t="s">
        <v>84</v>
      </c>
      <c r="E75">
        <v>1</v>
      </c>
      <c r="F75">
        <v>0.1</v>
      </c>
      <c r="G75">
        <v>2880</v>
      </c>
      <c r="H75">
        <v>2400</v>
      </c>
      <c r="I75">
        <v>480</v>
      </c>
      <c r="J75" t="s">
        <v>104</v>
      </c>
    </row>
    <row r="76" spans="1:10" x14ac:dyDescent="0.3">
      <c r="A76" t="s">
        <v>145</v>
      </c>
      <c r="B76" s="1">
        <v>46071</v>
      </c>
      <c r="C76" t="s">
        <v>27</v>
      </c>
      <c r="D76" t="s">
        <v>84</v>
      </c>
      <c r="E76">
        <v>1</v>
      </c>
      <c r="F76">
        <v>0.15</v>
      </c>
      <c r="G76">
        <v>2720</v>
      </c>
      <c r="H76">
        <v>2400</v>
      </c>
      <c r="I76">
        <v>320</v>
      </c>
      <c r="J76" t="s">
        <v>102</v>
      </c>
    </row>
    <row r="77" spans="1:10" x14ac:dyDescent="0.3">
      <c r="A77" t="s">
        <v>146</v>
      </c>
      <c r="B77" s="1">
        <v>46076</v>
      </c>
      <c r="C77" t="s">
        <v>14</v>
      </c>
      <c r="D77" t="s">
        <v>90</v>
      </c>
      <c r="E77">
        <v>1</v>
      </c>
      <c r="F77">
        <v>0.1</v>
      </c>
      <c r="G77">
        <v>28800</v>
      </c>
      <c r="H77">
        <v>25500</v>
      </c>
      <c r="I77">
        <v>3300</v>
      </c>
      <c r="J77" t="s">
        <v>103</v>
      </c>
    </row>
    <row r="78" spans="1:10" x14ac:dyDescent="0.3">
      <c r="A78" t="s">
        <v>147</v>
      </c>
      <c r="B78" s="1">
        <v>46063</v>
      </c>
      <c r="C78" t="s">
        <v>4</v>
      </c>
      <c r="D78" t="s">
        <v>87</v>
      </c>
      <c r="E78">
        <v>3</v>
      </c>
      <c r="F78">
        <v>0.05</v>
      </c>
      <c r="G78">
        <v>68400</v>
      </c>
      <c r="H78">
        <v>57000</v>
      </c>
      <c r="I78">
        <v>11400</v>
      </c>
      <c r="J78" t="s">
        <v>103</v>
      </c>
    </row>
    <row r="79" spans="1:10" x14ac:dyDescent="0.3">
      <c r="A79" t="s">
        <v>148</v>
      </c>
      <c r="B79" s="1">
        <v>46056</v>
      </c>
      <c r="C79" t="s">
        <v>14</v>
      </c>
      <c r="D79" t="s">
        <v>90</v>
      </c>
      <c r="E79">
        <v>6</v>
      </c>
      <c r="F79">
        <v>0.1</v>
      </c>
      <c r="G79">
        <v>172800</v>
      </c>
      <c r="H79">
        <v>153000</v>
      </c>
      <c r="I79">
        <v>19800</v>
      </c>
      <c r="J79" t="s">
        <v>101</v>
      </c>
    </row>
    <row r="80" spans="1:10" x14ac:dyDescent="0.3">
      <c r="A80" t="s">
        <v>149</v>
      </c>
      <c r="B80" s="1">
        <v>46060</v>
      </c>
      <c r="C80" t="s">
        <v>4</v>
      </c>
      <c r="D80" t="s">
        <v>67</v>
      </c>
      <c r="E80">
        <v>7</v>
      </c>
      <c r="F80">
        <v>0.15</v>
      </c>
      <c r="G80">
        <v>107100</v>
      </c>
      <c r="H80">
        <v>101500</v>
      </c>
      <c r="I80">
        <v>5600</v>
      </c>
      <c r="J80" t="s">
        <v>104</v>
      </c>
    </row>
    <row r="81" spans="1:10" x14ac:dyDescent="0.3">
      <c r="A81" t="s">
        <v>150</v>
      </c>
      <c r="B81" s="1">
        <v>46081</v>
      </c>
      <c r="C81" t="s">
        <v>38</v>
      </c>
      <c r="D81" t="s">
        <v>70</v>
      </c>
      <c r="E81">
        <v>5</v>
      </c>
      <c r="F81">
        <v>0</v>
      </c>
      <c r="G81">
        <v>42500</v>
      </c>
      <c r="H81">
        <v>32500</v>
      </c>
      <c r="I81">
        <v>10000</v>
      </c>
      <c r="J81" t="s">
        <v>101</v>
      </c>
    </row>
    <row r="82" spans="1:10" x14ac:dyDescent="0.3">
      <c r="A82" t="s">
        <v>151</v>
      </c>
      <c r="B82" s="1">
        <v>46069</v>
      </c>
      <c r="C82" t="s">
        <v>42</v>
      </c>
      <c r="D82" t="s">
        <v>62</v>
      </c>
      <c r="E82">
        <v>2</v>
      </c>
      <c r="F82">
        <v>0.1</v>
      </c>
      <c r="G82">
        <v>2160</v>
      </c>
      <c r="H82">
        <v>1400</v>
      </c>
      <c r="I82">
        <v>760</v>
      </c>
      <c r="J82" t="s">
        <v>103</v>
      </c>
    </row>
    <row r="83" spans="1:10" x14ac:dyDescent="0.3">
      <c r="A83" t="s">
        <v>152</v>
      </c>
      <c r="B83" s="1">
        <v>46079</v>
      </c>
      <c r="C83" t="s">
        <v>50</v>
      </c>
      <c r="D83" t="s">
        <v>84</v>
      </c>
      <c r="E83">
        <v>7</v>
      </c>
      <c r="F83">
        <v>0</v>
      </c>
      <c r="G83">
        <v>22400</v>
      </c>
      <c r="H83">
        <v>16800</v>
      </c>
      <c r="I83">
        <v>5600</v>
      </c>
      <c r="J83" t="s">
        <v>102</v>
      </c>
    </row>
    <row r="84" spans="1:10" x14ac:dyDescent="0.3">
      <c r="A84" t="s">
        <v>153</v>
      </c>
      <c r="B84" s="1">
        <v>46069</v>
      </c>
      <c r="C84" t="s">
        <v>25</v>
      </c>
      <c r="D84" t="s">
        <v>77</v>
      </c>
      <c r="E84">
        <v>2</v>
      </c>
      <c r="F84">
        <v>0.05</v>
      </c>
      <c r="G84">
        <v>6650</v>
      </c>
      <c r="H84">
        <v>4400</v>
      </c>
      <c r="I84">
        <v>2250</v>
      </c>
      <c r="J84" t="s">
        <v>104</v>
      </c>
    </row>
    <row r="85" spans="1:10" x14ac:dyDescent="0.3">
      <c r="A85" t="s">
        <v>154</v>
      </c>
      <c r="B85" s="1">
        <v>46078</v>
      </c>
      <c r="C85" t="s">
        <v>23</v>
      </c>
      <c r="D85" t="s">
        <v>67</v>
      </c>
      <c r="E85">
        <v>3</v>
      </c>
      <c r="F85">
        <v>0</v>
      </c>
      <c r="G85">
        <v>54000</v>
      </c>
      <c r="H85">
        <v>43500</v>
      </c>
      <c r="I85">
        <v>10500</v>
      </c>
      <c r="J85" t="s">
        <v>102</v>
      </c>
    </row>
    <row r="86" spans="1:10" x14ac:dyDescent="0.3">
      <c r="A86" t="s">
        <v>155</v>
      </c>
      <c r="B86" s="1">
        <v>46073</v>
      </c>
      <c r="C86" t="s">
        <v>11</v>
      </c>
      <c r="D86" t="s">
        <v>75</v>
      </c>
      <c r="E86">
        <v>2</v>
      </c>
      <c r="F86">
        <v>0.05</v>
      </c>
      <c r="G86">
        <v>4180</v>
      </c>
      <c r="H86">
        <v>2600</v>
      </c>
      <c r="I86">
        <v>1580</v>
      </c>
      <c r="J86" t="s">
        <v>102</v>
      </c>
    </row>
    <row r="87" spans="1:10" x14ac:dyDescent="0.3">
      <c r="A87" t="s">
        <v>156</v>
      </c>
      <c r="B87" s="1">
        <v>46081</v>
      </c>
      <c r="C87" t="s">
        <v>44</v>
      </c>
      <c r="D87" t="s">
        <v>87</v>
      </c>
      <c r="E87">
        <v>1</v>
      </c>
      <c r="F87">
        <v>0.1</v>
      </c>
      <c r="G87">
        <v>21600</v>
      </c>
      <c r="H87">
        <v>19000</v>
      </c>
      <c r="I87">
        <v>2600</v>
      </c>
      <c r="J87" t="s">
        <v>104</v>
      </c>
    </row>
    <row r="88" spans="1:10" x14ac:dyDescent="0.3">
      <c r="A88" t="s">
        <v>157</v>
      </c>
      <c r="B88" s="1">
        <v>46070</v>
      </c>
      <c r="C88" t="s">
        <v>4</v>
      </c>
      <c r="D88" t="s">
        <v>57</v>
      </c>
      <c r="E88">
        <v>5</v>
      </c>
      <c r="F88">
        <v>0</v>
      </c>
      <c r="G88">
        <v>275000</v>
      </c>
      <c r="H88">
        <v>235000</v>
      </c>
      <c r="I88">
        <v>40000</v>
      </c>
      <c r="J88" t="s">
        <v>101</v>
      </c>
    </row>
    <row r="89" spans="1:10" x14ac:dyDescent="0.3">
      <c r="A89" t="s">
        <v>158</v>
      </c>
      <c r="B89" s="1">
        <v>46055</v>
      </c>
      <c r="C89" t="s">
        <v>42</v>
      </c>
      <c r="D89" t="s">
        <v>90</v>
      </c>
      <c r="E89">
        <v>4</v>
      </c>
      <c r="F89">
        <v>0</v>
      </c>
      <c r="G89">
        <v>128000</v>
      </c>
      <c r="H89">
        <v>102000</v>
      </c>
      <c r="I89">
        <v>26000</v>
      </c>
      <c r="J89" t="s">
        <v>102</v>
      </c>
    </row>
    <row r="90" spans="1:10" x14ac:dyDescent="0.3">
      <c r="A90" t="s">
        <v>159</v>
      </c>
      <c r="B90" s="1">
        <v>46054</v>
      </c>
      <c r="C90" t="s">
        <v>34</v>
      </c>
      <c r="D90" t="s">
        <v>67</v>
      </c>
      <c r="E90">
        <v>2</v>
      </c>
      <c r="F90">
        <v>0.15</v>
      </c>
      <c r="G90">
        <v>30600</v>
      </c>
      <c r="H90">
        <v>29000</v>
      </c>
      <c r="I90">
        <v>1600</v>
      </c>
      <c r="J90" t="s">
        <v>103</v>
      </c>
    </row>
    <row r="91" spans="1:10" x14ac:dyDescent="0.3">
      <c r="A91" t="s">
        <v>160</v>
      </c>
      <c r="B91" s="1">
        <v>46069</v>
      </c>
      <c r="C91" t="s">
        <v>48</v>
      </c>
      <c r="D91" t="s">
        <v>92</v>
      </c>
      <c r="E91">
        <v>7</v>
      </c>
      <c r="F91">
        <v>0</v>
      </c>
      <c r="G91">
        <v>12600</v>
      </c>
      <c r="H91">
        <v>7700</v>
      </c>
      <c r="I91">
        <v>4900</v>
      </c>
      <c r="J91" t="s">
        <v>102</v>
      </c>
    </row>
    <row r="92" spans="1:10" x14ac:dyDescent="0.3">
      <c r="A92" t="s">
        <v>208</v>
      </c>
      <c r="B92" s="1">
        <v>46111</v>
      </c>
      <c r="C92" t="s">
        <v>34</v>
      </c>
      <c r="D92" t="s">
        <v>57</v>
      </c>
      <c r="E92">
        <v>4</v>
      </c>
      <c r="F92">
        <v>0.05</v>
      </c>
      <c r="G92">
        <v>209000</v>
      </c>
      <c r="H92">
        <v>188000</v>
      </c>
      <c r="I92">
        <v>21000</v>
      </c>
      <c r="J92" t="s">
        <v>101</v>
      </c>
    </row>
    <row r="93" spans="1:10" x14ac:dyDescent="0.3">
      <c r="A93" t="s">
        <v>209</v>
      </c>
      <c r="B93" s="1">
        <v>46095</v>
      </c>
      <c r="C93" t="s">
        <v>46</v>
      </c>
      <c r="D93" t="s">
        <v>73</v>
      </c>
      <c r="E93">
        <v>3</v>
      </c>
      <c r="F93">
        <v>0.15</v>
      </c>
      <c r="G93">
        <v>30600</v>
      </c>
      <c r="H93">
        <v>27000</v>
      </c>
      <c r="I93">
        <v>3600</v>
      </c>
      <c r="J93" t="s">
        <v>102</v>
      </c>
    </row>
    <row r="94" spans="1:10" x14ac:dyDescent="0.3">
      <c r="A94" t="s">
        <v>210</v>
      </c>
      <c r="B94" s="1">
        <v>46111</v>
      </c>
      <c r="C94" t="s">
        <v>11</v>
      </c>
      <c r="D94" t="s">
        <v>75</v>
      </c>
      <c r="E94">
        <v>5</v>
      </c>
      <c r="F94">
        <v>0</v>
      </c>
      <c r="G94">
        <v>11000</v>
      </c>
      <c r="H94">
        <v>6500</v>
      </c>
      <c r="I94">
        <v>4500</v>
      </c>
      <c r="J94" t="s">
        <v>101</v>
      </c>
    </row>
    <row r="95" spans="1:10" x14ac:dyDescent="0.3">
      <c r="A95" t="s">
        <v>211</v>
      </c>
      <c r="B95" s="1">
        <v>46101</v>
      </c>
      <c r="C95" t="s">
        <v>4</v>
      </c>
      <c r="D95" t="s">
        <v>73</v>
      </c>
      <c r="E95">
        <v>4</v>
      </c>
      <c r="F95">
        <v>0.1</v>
      </c>
      <c r="G95">
        <v>43200</v>
      </c>
      <c r="H95">
        <v>36000</v>
      </c>
      <c r="I95">
        <v>7200</v>
      </c>
      <c r="J95" t="s">
        <v>103</v>
      </c>
    </row>
    <row r="96" spans="1:10" x14ac:dyDescent="0.3">
      <c r="A96" t="s">
        <v>212</v>
      </c>
      <c r="B96" s="1">
        <v>46086</v>
      </c>
      <c r="C96" t="s">
        <v>4</v>
      </c>
      <c r="D96" t="s">
        <v>90</v>
      </c>
      <c r="E96">
        <v>5</v>
      </c>
      <c r="F96">
        <v>0</v>
      </c>
      <c r="G96">
        <v>160000</v>
      </c>
      <c r="H96">
        <v>127500</v>
      </c>
      <c r="I96">
        <v>32500</v>
      </c>
      <c r="J96" t="s">
        <v>103</v>
      </c>
    </row>
    <row r="97" spans="1:10" x14ac:dyDescent="0.3">
      <c r="A97" t="s">
        <v>213</v>
      </c>
      <c r="B97" s="1">
        <v>46093</v>
      </c>
      <c r="C97" t="s">
        <v>48</v>
      </c>
      <c r="D97" t="s">
        <v>67</v>
      </c>
      <c r="E97">
        <v>7</v>
      </c>
      <c r="F97">
        <v>0</v>
      </c>
      <c r="G97">
        <v>126000</v>
      </c>
      <c r="H97">
        <v>101500</v>
      </c>
      <c r="I97">
        <v>24500</v>
      </c>
      <c r="J97" t="s">
        <v>101</v>
      </c>
    </row>
    <row r="98" spans="1:10" x14ac:dyDescent="0.3">
      <c r="A98" t="s">
        <v>214</v>
      </c>
      <c r="B98" s="1">
        <v>46097</v>
      </c>
      <c r="C98" t="s">
        <v>32</v>
      </c>
      <c r="D98" t="s">
        <v>84</v>
      </c>
      <c r="E98">
        <v>1</v>
      </c>
      <c r="F98">
        <v>0.15</v>
      </c>
      <c r="G98">
        <v>2720</v>
      </c>
      <c r="H98">
        <v>2400</v>
      </c>
      <c r="I98">
        <v>320</v>
      </c>
      <c r="J98" t="s">
        <v>102</v>
      </c>
    </row>
    <row r="99" spans="1:10" x14ac:dyDescent="0.3">
      <c r="A99" t="s">
        <v>215</v>
      </c>
      <c r="B99" s="1">
        <v>46107</v>
      </c>
      <c r="C99" t="s">
        <v>17</v>
      </c>
      <c r="D99" t="s">
        <v>57</v>
      </c>
      <c r="E99">
        <v>7</v>
      </c>
      <c r="F99">
        <v>0.1</v>
      </c>
      <c r="G99">
        <v>346500</v>
      </c>
      <c r="H99">
        <v>329000</v>
      </c>
      <c r="I99">
        <v>17500</v>
      </c>
      <c r="J99" t="s">
        <v>104</v>
      </c>
    </row>
    <row r="100" spans="1:10" x14ac:dyDescent="0.3">
      <c r="A100" t="s">
        <v>216</v>
      </c>
      <c r="B100" s="1">
        <v>46107</v>
      </c>
      <c r="C100" t="s">
        <v>34</v>
      </c>
      <c r="D100" t="s">
        <v>73</v>
      </c>
      <c r="E100">
        <v>5</v>
      </c>
      <c r="F100">
        <v>0.1</v>
      </c>
      <c r="G100">
        <v>54000</v>
      </c>
      <c r="H100">
        <v>45000</v>
      </c>
      <c r="I100">
        <v>9000</v>
      </c>
      <c r="J100" t="s">
        <v>103</v>
      </c>
    </row>
    <row r="101" spans="1:10" x14ac:dyDescent="0.3">
      <c r="A101" t="s">
        <v>217</v>
      </c>
      <c r="B101" s="1">
        <v>46097</v>
      </c>
      <c r="C101" t="s">
        <v>11</v>
      </c>
      <c r="D101" t="s">
        <v>87</v>
      </c>
      <c r="E101">
        <v>5</v>
      </c>
      <c r="F101">
        <v>0.1</v>
      </c>
      <c r="G101">
        <v>108000</v>
      </c>
      <c r="H101">
        <v>95000</v>
      </c>
      <c r="I101">
        <v>13000</v>
      </c>
      <c r="J101" t="s">
        <v>102</v>
      </c>
    </row>
    <row r="102" spans="1:10" x14ac:dyDescent="0.3">
      <c r="A102" t="s">
        <v>218</v>
      </c>
      <c r="B102" s="1">
        <v>46102</v>
      </c>
      <c r="C102" t="s">
        <v>4</v>
      </c>
      <c r="D102" t="s">
        <v>73</v>
      </c>
      <c r="E102">
        <v>2</v>
      </c>
      <c r="F102">
        <v>0.05</v>
      </c>
      <c r="G102">
        <v>22800</v>
      </c>
      <c r="H102">
        <v>18000</v>
      </c>
      <c r="I102">
        <v>4800</v>
      </c>
      <c r="J102" t="s">
        <v>102</v>
      </c>
    </row>
    <row r="103" spans="1:10" x14ac:dyDescent="0.3">
      <c r="A103" t="s">
        <v>219</v>
      </c>
      <c r="B103" s="1">
        <v>46088</v>
      </c>
      <c r="C103" t="s">
        <v>4</v>
      </c>
      <c r="D103" t="s">
        <v>77</v>
      </c>
      <c r="E103">
        <v>2</v>
      </c>
      <c r="F103">
        <v>0.15</v>
      </c>
      <c r="G103">
        <v>5950</v>
      </c>
      <c r="H103">
        <v>4400</v>
      </c>
      <c r="I103">
        <v>1550</v>
      </c>
      <c r="J103" t="s">
        <v>104</v>
      </c>
    </row>
    <row r="104" spans="1:10" x14ac:dyDescent="0.3">
      <c r="A104" t="s">
        <v>220</v>
      </c>
      <c r="B104" s="1">
        <v>46085</v>
      </c>
      <c r="C104" t="s">
        <v>25</v>
      </c>
      <c r="D104" t="s">
        <v>62</v>
      </c>
      <c r="E104">
        <v>7</v>
      </c>
      <c r="F104">
        <v>0.1</v>
      </c>
      <c r="G104">
        <v>7560</v>
      </c>
      <c r="H104">
        <v>4900</v>
      </c>
      <c r="I104">
        <v>2660</v>
      </c>
      <c r="J104" t="s">
        <v>103</v>
      </c>
    </row>
    <row r="105" spans="1:10" x14ac:dyDescent="0.3">
      <c r="A105" t="s">
        <v>221</v>
      </c>
      <c r="B105" s="1">
        <v>46082</v>
      </c>
      <c r="C105" t="s">
        <v>30</v>
      </c>
      <c r="D105" t="s">
        <v>77</v>
      </c>
      <c r="E105">
        <v>6</v>
      </c>
      <c r="F105">
        <v>0.05</v>
      </c>
      <c r="G105">
        <v>19950</v>
      </c>
      <c r="H105">
        <v>13200</v>
      </c>
      <c r="I105">
        <v>6750</v>
      </c>
      <c r="J105" t="s">
        <v>103</v>
      </c>
    </row>
    <row r="106" spans="1:10" x14ac:dyDescent="0.3">
      <c r="A106" t="s">
        <v>222</v>
      </c>
      <c r="B106" s="1">
        <v>46111</v>
      </c>
      <c r="C106" t="s">
        <v>32</v>
      </c>
      <c r="D106" t="s">
        <v>90</v>
      </c>
      <c r="E106">
        <v>7</v>
      </c>
      <c r="F106">
        <v>0</v>
      </c>
      <c r="G106">
        <v>224000</v>
      </c>
      <c r="H106">
        <v>178500</v>
      </c>
      <c r="I106">
        <v>45500</v>
      </c>
      <c r="J106" t="s">
        <v>102</v>
      </c>
    </row>
    <row r="107" spans="1:10" x14ac:dyDescent="0.3">
      <c r="A107" t="s">
        <v>223</v>
      </c>
      <c r="B107" s="1">
        <v>46111</v>
      </c>
      <c r="C107" t="s">
        <v>34</v>
      </c>
      <c r="D107" t="s">
        <v>57</v>
      </c>
      <c r="E107">
        <v>2</v>
      </c>
      <c r="F107">
        <v>0</v>
      </c>
      <c r="G107">
        <v>110000</v>
      </c>
      <c r="H107">
        <v>94000</v>
      </c>
      <c r="I107">
        <v>16000</v>
      </c>
      <c r="J107" t="s">
        <v>102</v>
      </c>
    </row>
    <row r="108" spans="1:10" x14ac:dyDescent="0.3">
      <c r="A108" t="s">
        <v>224</v>
      </c>
      <c r="B108" s="1">
        <v>46086</v>
      </c>
      <c r="C108" t="s">
        <v>36</v>
      </c>
      <c r="D108" t="s">
        <v>57</v>
      </c>
      <c r="E108">
        <v>5</v>
      </c>
      <c r="F108">
        <v>0.05</v>
      </c>
      <c r="G108">
        <v>261250</v>
      </c>
      <c r="H108">
        <v>235000</v>
      </c>
      <c r="I108">
        <v>26250</v>
      </c>
      <c r="J108" t="s">
        <v>104</v>
      </c>
    </row>
    <row r="109" spans="1:10" x14ac:dyDescent="0.3">
      <c r="A109" t="s">
        <v>225</v>
      </c>
      <c r="B109" s="1">
        <v>46104</v>
      </c>
      <c r="C109" t="s">
        <v>34</v>
      </c>
      <c r="D109" t="s">
        <v>90</v>
      </c>
      <c r="E109">
        <v>3</v>
      </c>
      <c r="F109">
        <v>0.05</v>
      </c>
      <c r="G109">
        <v>91200</v>
      </c>
      <c r="H109">
        <v>76500</v>
      </c>
      <c r="I109">
        <v>14700</v>
      </c>
      <c r="J109" t="s">
        <v>104</v>
      </c>
    </row>
    <row r="110" spans="1:10" x14ac:dyDescent="0.3">
      <c r="A110" t="s">
        <v>226</v>
      </c>
      <c r="B110" s="1">
        <v>46107</v>
      </c>
      <c r="C110" t="s">
        <v>38</v>
      </c>
      <c r="D110" t="s">
        <v>65</v>
      </c>
      <c r="E110">
        <v>7</v>
      </c>
      <c r="F110">
        <v>0.15</v>
      </c>
      <c r="G110">
        <v>4165</v>
      </c>
      <c r="H110">
        <v>2660</v>
      </c>
      <c r="I110">
        <v>1505</v>
      </c>
      <c r="J110" t="s">
        <v>103</v>
      </c>
    </row>
    <row r="111" spans="1:10" x14ac:dyDescent="0.3">
      <c r="A111" t="s">
        <v>227</v>
      </c>
      <c r="B111" s="1">
        <v>46091</v>
      </c>
      <c r="C111" t="s">
        <v>8</v>
      </c>
      <c r="D111" t="s">
        <v>77</v>
      </c>
      <c r="E111">
        <v>5</v>
      </c>
      <c r="F111">
        <v>0.15</v>
      </c>
      <c r="G111">
        <v>14875</v>
      </c>
      <c r="H111">
        <v>11000</v>
      </c>
      <c r="I111">
        <v>3875</v>
      </c>
      <c r="J111" t="s">
        <v>101</v>
      </c>
    </row>
    <row r="112" spans="1:10" x14ac:dyDescent="0.3">
      <c r="A112" t="s">
        <v>228</v>
      </c>
      <c r="B112" s="1">
        <v>46103</v>
      </c>
      <c r="C112" t="s">
        <v>48</v>
      </c>
      <c r="D112" t="s">
        <v>70</v>
      </c>
      <c r="E112">
        <v>3</v>
      </c>
      <c r="F112">
        <v>0</v>
      </c>
      <c r="G112">
        <v>25500</v>
      </c>
      <c r="H112">
        <v>19500</v>
      </c>
      <c r="I112">
        <v>6000</v>
      </c>
      <c r="J112" t="s">
        <v>103</v>
      </c>
    </row>
    <row r="113" spans="1:10" x14ac:dyDescent="0.3">
      <c r="A113" t="s">
        <v>229</v>
      </c>
      <c r="B113" s="1">
        <v>46086</v>
      </c>
      <c r="C113" t="s">
        <v>46</v>
      </c>
      <c r="D113" t="s">
        <v>87</v>
      </c>
      <c r="E113">
        <v>3</v>
      </c>
      <c r="F113">
        <v>0.1</v>
      </c>
      <c r="G113">
        <v>64800</v>
      </c>
      <c r="H113">
        <v>57000</v>
      </c>
      <c r="I113">
        <v>7800</v>
      </c>
      <c r="J113" t="s">
        <v>102</v>
      </c>
    </row>
    <row r="114" spans="1:10" x14ac:dyDescent="0.3">
      <c r="A114" t="s">
        <v>230</v>
      </c>
      <c r="B114" s="1">
        <v>46085</v>
      </c>
      <c r="C114" t="s">
        <v>11</v>
      </c>
      <c r="D114" t="s">
        <v>82</v>
      </c>
      <c r="E114">
        <v>2</v>
      </c>
      <c r="F114">
        <v>0</v>
      </c>
      <c r="G114">
        <v>3600</v>
      </c>
      <c r="H114">
        <v>2100</v>
      </c>
      <c r="I114">
        <v>1500</v>
      </c>
      <c r="J114" t="s">
        <v>103</v>
      </c>
    </row>
    <row r="115" spans="1:10" x14ac:dyDescent="0.3">
      <c r="A115" t="s">
        <v>231</v>
      </c>
      <c r="B115" s="1">
        <v>46083</v>
      </c>
      <c r="C115" t="s">
        <v>44</v>
      </c>
      <c r="D115" t="s">
        <v>62</v>
      </c>
      <c r="E115">
        <v>7</v>
      </c>
      <c r="F115">
        <v>0.1</v>
      </c>
      <c r="G115">
        <v>7560</v>
      </c>
      <c r="H115">
        <v>4900</v>
      </c>
      <c r="I115">
        <v>2660</v>
      </c>
      <c r="J115" t="s">
        <v>101</v>
      </c>
    </row>
    <row r="116" spans="1:10" x14ac:dyDescent="0.3">
      <c r="A116" t="s">
        <v>232</v>
      </c>
      <c r="B116" s="1">
        <v>46101</v>
      </c>
      <c r="C116" t="s">
        <v>25</v>
      </c>
      <c r="D116" t="s">
        <v>57</v>
      </c>
      <c r="E116">
        <v>4</v>
      </c>
      <c r="F116">
        <v>0.1</v>
      </c>
      <c r="G116">
        <v>198000</v>
      </c>
      <c r="H116">
        <v>188000</v>
      </c>
      <c r="I116">
        <v>10000</v>
      </c>
      <c r="J116" t="s">
        <v>104</v>
      </c>
    </row>
    <row r="117" spans="1:10" x14ac:dyDescent="0.3">
      <c r="A117" t="s">
        <v>233</v>
      </c>
      <c r="B117" s="1">
        <v>46112</v>
      </c>
      <c r="C117" t="s">
        <v>30</v>
      </c>
      <c r="D117" t="s">
        <v>65</v>
      </c>
      <c r="E117">
        <v>1</v>
      </c>
      <c r="F117">
        <v>0.15</v>
      </c>
      <c r="G117">
        <v>595</v>
      </c>
      <c r="H117">
        <v>380</v>
      </c>
      <c r="I117">
        <v>215</v>
      </c>
      <c r="J117" t="s">
        <v>101</v>
      </c>
    </row>
    <row r="118" spans="1:10" x14ac:dyDescent="0.3">
      <c r="A118" t="s">
        <v>234</v>
      </c>
      <c r="B118" s="1">
        <v>46091</v>
      </c>
      <c r="C118" t="s">
        <v>8</v>
      </c>
      <c r="D118" t="s">
        <v>84</v>
      </c>
      <c r="E118">
        <v>2</v>
      </c>
      <c r="F118">
        <v>0</v>
      </c>
      <c r="G118">
        <v>6400</v>
      </c>
      <c r="H118">
        <v>4800</v>
      </c>
      <c r="I118">
        <v>1600</v>
      </c>
      <c r="J118" t="s">
        <v>101</v>
      </c>
    </row>
    <row r="119" spans="1:10" x14ac:dyDescent="0.3">
      <c r="A119" t="s">
        <v>235</v>
      </c>
      <c r="B119" s="1">
        <v>46107</v>
      </c>
      <c r="C119" t="s">
        <v>48</v>
      </c>
      <c r="D119" t="s">
        <v>87</v>
      </c>
      <c r="E119">
        <v>2</v>
      </c>
      <c r="F119">
        <v>0</v>
      </c>
      <c r="G119">
        <v>48000</v>
      </c>
      <c r="H119">
        <v>38000</v>
      </c>
      <c r="I119">
        <v>10000</v>
      </c>
      <c r="J119" t="s">
        <v>101</v>
      </c>
    </row>
    <row r="120" spans="1:10" x14ac:dyDescent="0.3">
      <c r="A120" t="s">
        <v>236</v>
      </c>
      <c r="B120" s="1">
        <v>46100</v>
      </c>
      <c r="C120" t="s">
        <v>27</v>
      </c>
      <c r="D120" t="s">
        <v>77</v>
      </c>
      <c r="E120">
        <v>4</v>
      </c>
      <c r="F120">
        <v>0.05</v>
      </c>
      <c r="G120">
        <v>13300</v>
      </c>
      <c r="H120">
        <v>8800</v>
      </c>
      <c r="I120">
        <v>4500</v>
      </c>
      <c r="J120" t="s">
        <v>104</v>
      </c>
    </row>
    <row r="121" spans="1:10" x14ac:dyDescent="0.3">
      <c r="A121" t="s">
        <v>237</v>
      </c>
      <c r="B121" s="1">
        <v>46107</v>
      </c>
      <c r="C121" t="s">
        <v>23</v>
      </c>
      <c r="D121" t="s">
        <v>62</v>
      </c>
      <c r="E121">
        <v>1</v>
      </c>
      <c r="F121">
        <v>0.15</v>
      </c>
      <c r="G121">
        <v>1020</v>
      </c>
      <c r="H121">
        <v>700</v>
      </c>
      <c r="I121">
        <v>320</v>
      </c>
      <c r="J121" t="s">
        <v>101</v>
      </c>
    </row>
    <row r="122" spans="1:10" x14ac:dyDescent="0.3">
      <c r="A122" t="s">
        <v>238</v>
      </c>
      <c r="B122" s="1">
        <v>46082</v>
      </c>
      <c r="C122" t="s">
        <v>14</v>
      </c>
      <c r="D122" t="s">
        <v>84</v>
      </c>
      <c r="E122">
        <v>5</v>
      </c>
      <c r="F122">
        <v>0.1</v>
      </c>
      <c r="G122">
        <v>14400</v>
      </c>
      <c r="H122">
        <v>12000</v>
      </c>
      <c r="I122">
        <v>2400</v>
      </c>
      <c r="J122" t="s">
        <v>101</v>
      </c>
    </row>
    <row r="123" spans="1:10" x14ac:dyDescent="0.3">
      <c r="A123" t="s">
        <v>239</v>
      </c>
      <c r="B123" s="1">
        <v>46105</v>
      </c>
      <c r="C123" t="s">
        <v>46</v>
      </c>
      <c r="D123" t="s">
        <v>77</v>
      </c>
      <c r="E123">
        <v>6</v>
      </c>
      <c r="F123">
        <v>0</v>
      </c>
      <c r="G123">
        <v>21000</v>
      </c>
      <c r="H123">
        <v>13200</v>
      </c>
      <c r="I123">
        <v>7800</v>
      </c>
      <c r="J123" t="s">
        <v>101</v>
      </c>
    </row>
    <row r="124" spans="1:10" x14ac:dyDescent="0.3">
      <c r="A124" t="s">
        <v>240</v>
      </c>
      <c r="B124" s="1">
        <v>46086</v>
      </c>
      <c r="C124" t="s">
        <v>36</v>
      </c>
      <c r="D124" t="s">
        <v>73</v>
      </c>
      <c r="E124">
        <v>7</v>
      </c>
      <c r="F124">
        <v>0.1</v>
      </c>
      <c r="G124">
        <v>75600</v>
      </c>
      <c r="H124">
        <v>63000</v>
      </c>
      <c r="I124">
        <v>12600</v>
      </c>
      <c r="J124" t="s">
        <v>102</v>
      </c>
    </row>
    <row r="125" spans="1:10" x14ac:dyDescent="0.3">
      <c r="A125" t="s">
        <v>241</v>
      </c>
      <c r="B125" s="1">
        <v>46094</v>
      </c>
      <c r="C125" t="s">
        <v>32</v>
      </c>
      <c r="D125" t="s">
        <v>84</v>
      </c>
      <c r="E125">
        <v>6</v>
      </c>
      <c r="F125">
        <v>0</v>
      </c>
      <c r="G125">
        <v>19200</v>
      </c>
      <c r="H125">
        <v>14400</v>
      </c>
      <c r="I125">
        <v>4800</v>
      </c>
      <c r="J125" t="s">
        <v>101</v>
      </c>
    </row>
    <row r="126" spans="1:10" x14ac:dyDescent="0.3">
      <c r="A126" t="s">
        <v>242</v>
      </c>
      <c r="B126" s="1">
        <v>46085</v>
      </c>
      <c r="C126" t="s">
        <v>14</v>
      </c>
      <c r="D126" t="s">
        <v>90</v>
      </c>
      <c r="E126">
        <v>5</v>
      </c>
      <c r="F126">
        <v>0</v>
      </c>
      <c r="G126">
        <v>160000</v>
      </c>
      <c r="H126">
        <v>127500</v>
      </c>
      <c r="I126">
        <v>32500</v>
      </c>
      <c r="J126" t="s">
        <v>104</v>
      </c>
    </row>
    <row r="127" spans="1:10" x14ac:dyDescent="0.3">
      <c r="A127" t="s">
        <v>243</v>
      </c>
      <c r="B127" s="1">
        <v>46097</v>
      </c>
      <c r="C127" t="s">
        <v>14</v>
      </c>
      <c r="D127" t="s">
        <v>92</v>
      </c>
      <c r="E127">
        <v>2</v>
      </c>
      <c r="F127">
        <v>0</v>
      </c>
      <c r="G127">
        <v>3600</v>
      </c>
      <c r="H127">
        <v>2200</v>
      </c>
      <c r="I127">
        <v>1400</v>
      </c>
      <c r="J127" t="s">
        <v>101</v>
      </c>
    </row>
    <row r="128" spans="1:10" x14ac:dyDescent="0.3">
      <c r="A128" t="s">
        <v>244</v>
      </c>
      <c r="B128" s="1">
        <v>46105</v>
      </c>
      <c r="C128" t="s">
        <v>30</v>
      </c>
      <c r="D128" t="s">
        <v>65</v>
      </c>
      <c r="E128">
        <v>1</v>
      </c>
      <c r="F128">
        <v>0.15</v>
      </c>
      <c r="G128">
        <v>595</v>
      </c>
      <c r="H128">
        <v>380</v>
      </c>
      <c r="I128">
        <v>215</v>
      </c>
      <c r="J128" t="s">
        <v>101</v>
      </c>
    </row>
    <row r="129" spans="1:10" x14ac:dyDescent="0.3">
      <c r="A129" t="s">
        <v>245</v>
      </c>
      <c r="B129" s="1">
        <v>46097</v>
      </c>
      <c r="C129" t="s">
        <v>17</v>
      </c>
      <c r="D129" t="s">
        <v>62</v>
      </c>
      <c r="E129">
        <v>2</v>
      </c>
      <c r="F129">
        <v>0</v>
      </c>
      <c r="G129">
        <v>2400</v>
      </c>
      <c r="H129">
        <v>1400</v>
      </c>
      <c r="I129">
        <v>1000</v>
      </c>
      <c r="J129" t="s">
        <v>104</v>
      </c>
    </row>
    <row r="130" spans="1:10" x14ac:dyDescent="0.3">
      <c r="A130" t="s">
        <v>246</v>
      </c>
      <c r="B130" s="1">
        <v>46104</v>
      </c>
      <c r="C130" t="s">
        <v>27</v>
      </c>
      <c r="D130" t="s">
        <v>79</v>
      </c>
      <c r="E130">
        <v>3</v>
      </c>
      <c r="F130">
        <v>0.1</v>
      </c>
      <c r="G130">
        <v>17550</v>
      </c>
      <c r="H130">
        <v>14400</v>
      </c>
      <c r="I130">
        <v>3150</v>
      </c>
      <c r="J130" t="s">
        <v>101</v>
      </c>
    </row>
    <row r="131" spans="1:10" x14ac:dyDescent="0.3">
      <c r="A131" t="s">
        <v>247</v>
      </c>
      <c r="B131" s="1">
        <v>46083</v>
      </c>
      <c r="C131" t="s">
        <v>11</v>
      </c>
      <c r="D131" t="s">
        <v>92</v>
      </c>
      <c r="E131">
        <v>2</v>
      </c>
      <c r="F131">
        <v>0.15</v>
      </c>
      <c r="G131">
        <v>3060</v>
      </c>
      <c r="H131">
        <v>2200</v>
      </c>
      <c r="I131">
        <v>860</v>
      </c>
      <c r="J131" t="s">
        <v>104</v>
      </c>
    </row>
    <row r="132" spans="1:10" x14ac:dyDescent="0.3">
      <c r="A132" t="s">
        <v>248</v>
      </c>
      <c r="B132" s="1">
        <v>46098</v>
      </c>
      <c r="C132" t="s">
        <v>44</v>
      </c>
      <c r="D132" t="s">
        <v>67</v>
      </c>
      <c r="E132">
        <v>2</v>
      </c>
      <c r="F132">
        <v>0.15</v>
      </c>
      <c r="G132">
        <v>30600</v>
      </c>
      <c r="H132">
        <v>29000</v>
      </c>
      <c r="I132">
        <v>1600</v>
      </c>
      <c r="J132" t="s">
        <v>101</v>
      </c>
    </row>
    <row r="133" spans="1:10" x14ac:dyDescent="0.3">
      <c r="A133" t="s">
        <v>249</v>
      </c>
      <c r="B133" s="1">
        <v>46109</v>
      </c>
      <c r="C133" t="s">
        <v>11</v>
      </c>
      <c r="D133" t="s">
        <v>67</v>
      </c>
      <c r="E133">
        <v>5</v>
      </c>
      <c r="F133">
        <v>0.15</v>
      </c>
      <c r="G133">
        <v>76500</v>
      </c>
      <c r="H133">
        <v>72500</v>
      </c>
      <c r="I133">
        <v>4000</v>
      </c>
      <c r="J133" t="s">
        <v>104</v>
      </c>
    </row>
    <row r="134" spans="1:10" x14ac:dyDescent="0.3">
      <c r="A134" t="s">
        <v>250</v>
      </c>
      <c r="B134" s="1">
        <v>46108</v>
      </c>
      <c r="C134" t="s">
        <v>42</v>
      </c>
      <c r="D134" t="s">
        <v>62</v>
      </c>
      <c r="E134">
        <v>5</v>
      </c>
      <c r="F134">
        <v>0.15</v>
      </c>
      <c r="G134">
        <v>5100</v>
      </c>
      <c r="H134">
        <v>3500</v>
      </c>
      <c r="I134">
        <v>1600</v>
      </c>
      <c r="J134" t="s">
        <v>101</v>
      </c>
    </row>
    <row r="135" spans="1:10" x14ac:dyDescent="0.3">
      <c r="A135" t="s">
        <v>251</v>
      </c>
      <c r="B135" s="1">
        <v>46101</v>
      </c>
      <c r="C135" t="s">
        <v>14</v>
      </c>
      <c r="D135" t="s">
        <v>84</v>
      </c>
      <c r="E135">
        <v>5</v>
      </c>
      <c r="F135">
        <v>0.15</v>
      </c>
      <c r="G135">
        <v>13600</v>
      </c>
      <c r="H135">
        <v>12000</v>
      </c>
      <c r="I135">
        <v>1600</v>
      </c>
      <c r="J135" t="s">
        <v>101</v>
      </c>
    </row>
    <row r="136" spans="1:10" x14ac:dyDescent="0.3">
      <c r="A136" t="s">
        <v>252</v>
      </c>
      <c r="B136" s="1">
        <v>46105</v>
      </c>
      <c r="C136" t="s">
        <v>46</v>
      </c>
      <c r="D136" t="s">
        <v>77</v>
      </c>
      <c r="E136">
        <v>6</v>
      </c>
      <c r="F136">
        <v>0.05</v>
      </c>
      <c r="G136">
        <v>19950</v>
      </c>
      <c r="H136">
        <v>13200</v>
      </c>
      <c r="I136">
        <v>6750</v>
      </c>
      <c r="J136" t="s">
        <v>102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CCC67-5F75-47E6-9854-A9B1A323F2A5}">
  <dimension ref="B1:P6"/>
  <sheetViews>
    <sheetView showGridLines="0" topLeftCell="B1" zoomScale="68" zoomScaleNormal="68" workbookViewId="0">
      <selection activeCell="K36" sqref="K36"/>
    </sheetView>
  </sheetViews>
  <sheetFormatPr defaultRowHeight="14.4" x14ac:dyDescent="0.3"/>
  <cols>
    <col min="1" max="1" width="3.77734375" customWidth="1"/>
    <col min="2" max="3" width="19.33203125" bestFit="1" customWidth="1"/>
    <col min="4" max="4" width="18.88671875" bestFit="1" customWidth="1"/>
    <col min="5" max="5" width="19.77734375" bestFit="1" customWidth="1"/>
    <col min="6" max="6" width="25" bestFit="1" customWidth="1"/>
    <col min="7" max="7" width="21.88671875" bestFit="1" customWidth="1"/>
    <col min="8" max="9" width="27.77734375" bestFit="1" customWidth="1"/>
    <col min="10" max="10" width="21.109375" bestFit="1" customWidth="1"/>
    <col min="11" max="11" width="16.88671875" customWidth="1"/>
    <col min="12" max="12" width="15.44140625" bestFit="1" customWidth="1"/>
  </cols>
  <sheetData>
    <row r="1" spans="2:16" ht="28.8" x14ac:dyDescent="0.55000000000000004">
      <c r="B1" s="7" t="s">
        <v>113</v>
      </c>
      <c r="C1" s="7"/>
      <c r="D1" s="7"/>
      <c r="E1" s="7"/>
      <c r="F1" s="7"/>
      <c r="G1" s="7"/>
      <c r="H1" s="7"/>
      <c r="I1" s="7"/>
      <c r="J1" s="7"/>
      <c r="K1" s="7"/>
      <c r="L1" s="7"/>
      <c r="M1" s="7"/>
      <c r="N1" s="7"/>
      <c r="O1" s="7"/>
      <c r="P1" s="7"/>
    </row>
    <row r="2" spans="2:16" ht="7.95" customHeight="1" thickBot="1" x14ac:dyDescent="0.35"/>
    <row r="3" spans="2:16" ht="18.600000000000001" thickBot="1" x14ac:dyDescent="0.35">
      <c r="D3" s="2" t="s">
        <v>105</v>
      </c>
      <c r="E3" s="3" t="s">
        <v>106</v>
      </c>
      <c r="F3" s="3" t="s">
        <v>107</v>
      </c>
      <c r="G3" s="3" t="s">
        <v>108</v>
      </c>
      <c r="H3" s="3" t="s">
        <v>109</v>
      </c>
      <c r="I3" s="3" t="s">
        <v>110</v>
      </c>
      <c r="J3" s="3" t="s">
        <v>111</v>
      </c>
      <c r="K3" s="3" t="s">
        <v>112</v>
      </c>
    </row>
    <row r="4" spans="2:16" ht="26.4" thickBot="1" x14ac:dyDescent="0.35">
      <c r="D4" s="4">
        <v>7623750</v>
      </c>
      <c r="E4" s="4">
        <v>1148940</v>
      </c>
      <c r="F4" s="4">
        <v>135</v>
      </c>
      <c r="G4" s="4">
        <v>20</v>
      </c>
      <c r="H4" s="4">
        <v>56472.222222222219</v>
      </c>
      <c r="I4" s="5">
        <v>0.15070536153467781</v>
      </c>
      <c r="J4" s="6" t="s">
        <v>58</v>
      </c>
      <c r="K4" s="6" t="s">
        <v>7</v>
      </c>
    </row>
    <row r="5" spans="2:16" ht="7.95" customHeight="1" x14ac:dyDescent="0.3"/>
    <row r="6" spans="2:16" ht="28.8" x14ac:dyDescent="0.55000000000000004">
      <c r="B6" s="7" t="s">
        <v>114</v>
      </c>
      <c r="C6" s="7"/>
      <c r="D6" s="7"/>
      <c r="E6" s="7"/>
      <c r="F6" s="7"/>
      <c r="G6" s="7"/>
      <c r="H6" s="7"/>
      <c r="I6" s="7"/>
      <c r="J6" s="7"/>
      <c r="K6" s="7"/>
      <c r="L6" s="7"/>
      <c r="M6" s="7"/>
      <c r="N6" s="7"/>
      <c r="O6" s="7"/>
      <c r="P6" s="7"/>
    </row>
  </sheetData>
  <mergeCells count="2">
    <mergeCell ref="B1:P1"/>
    <mergeCell ref="B6:P6"/>
  </mergeCells>
  <pageMargins left="0.7" right="0.7" top="0.75" bottom="0.75" header="0.3" footer="0.3"/>
  <pageSetup orientation="portrait" r:id="rId2"/>
  <drawing r:id="rId3"/>
  <extLst>
    <ext xmlns:x14="http://schemas.microsoft.com/office/spreadsheetml/2009/9/main" uri="{05C60535-1F16-4fd2-B633-F4F36F0B64E0}">
      <x14:sparklineGroups xmlns:xm="http://schemas.microsoft.com/office/excel/2006/main">
        <x14:sparklineGroup displayEmptyCellsAs="gap" xr2:uid="{0CCFA6DE-80DF-4131-B70F-0FDD2479A729}">
          <x14:colorSeries rgb="FF376092"/>
          <x14:colorNegative rgb="FFD00000"/>
          <x14:colorAxis rgb="FF000000"/>
          <x14:colorMarkers rgb="FFD00000"/>
          <x14:colorFirst rgb="FFD00000"/>
          <x14:colorLast rgb="FFD00000"/>
          <x14:colorHigh rgb="FFD00000"/>
          <x14:colorLow rgb="FFD00000"/>
          <x14:sparklines>
            <x14:sparkline>
              <xm:f>Dashboard!I15</xm:f>
              <xm:sqref>I10</xm:sqref>
            </x14:sparkline>
          </x14:sparklines>
        </x14:sparklineGroup>
        <x14:sparklineGroup displayEmptyCellsAs="gap" xr2:uid="{E9A41042-F4F5-4DFA-9321-1CFFE7282CDF}">
          <x14:colorSeries rgb="FF376092"/>
          <x14:colorNegative rgb="FFD00000"/>
          <x14:colorAxis rgb="FF000000"/>
          <x14:colorMarkers rgb="FFD00000"/>
          <x14:colorFirst rgb="FFD00000"/>
          <x14:colorLast rgb="FFD00000"/>
          <x14:colorHigh rgb="FFD00000"/>
          <x14:colorLow rgb="FFD00000"/>
          <x14:sparklines>
            <x14:sparkline>
              <xm:f>Dashboard!J8:J39</xm:f>
              <xm:sqref>J8</xm:sqref>
            </x14:sparkline>
          </x14:sparklines>
        </x14:sparklineGroup>
        <x14:sparklineGroup displayEmptyCellsAs="gap" markers="1" high="1" low="1" first="1" last="1" negative="1" xr2:uid="{1EC1263E-1467-4775-84E9-9DE2CB1AE766}">
          <x14:colorSeries theme="7" tint="-0.499984740745262"/>
          <x14:colorNegative rgb="FFD00000"/>
          <x14:colorAxis rgb="FF000000"/>
          <x14:colorMarkers rgb="FFD00000"/>
          <x14:colorFirst rgb="FFD00000"/>
          <x14:colorLast rgb="FFD00000"/>
          <x14:colorHigh rgb="FFD00000"/>
          <x14:colorLow rgb="FFD00000"/>
          <x14:sparklines>
            <x14:sparkline>
              <xm:f>Dashboard!J8:J8</xm:f>
              <xm:sqref>J39</xm:sqref>
            </x14:sparkline>
          </x14:sparklines>
        </x14:sparklineGroup>
      </x14:sparklineGroup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3F40-3458-4031-B561-7C1489CCDD4F}">
  <dimension ref="A1:D21"/>
  <sheetViews>
    <sheetView tabSelected="1" workbookViewId="0">
      <selection activeCell="D1" sqref="D1"/>
    </sheetView>
  </sheetViews>
  <sheetFormatPr defaultRowHeight="14.4" x14ac:dyDescent="0.3"/>
  <cols>
    <col min="1" max="1" width="14.109375" bestFit="1" customWidth="1"/>
    <col min="2" max="2" width="17.44140625" bestFit="1" customWidth="1"/>
    <col min="3" max="3" width="10.33203125" bestFit="1" customWidth="1"/>
    <col min="4" max="4" width="9" bestFit="1"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7</v>
      </c>
    </row>
    <row r="4" spans="1:4" x14ac:dyDescent="0.3">
      <c r="A4" t="s">
        <v>11</v>
      </c>
      <c r="B4" t="s">
        <v>12</v>
      </c>
      <c r="C4" t="s">
        <v>13</v>
      </c>
      <c r="D4" t="s">
        <v>7</v>
      </c>
    </row>
    <row r="5" spans="1:4" x14ac:dyDescent="0.3">
      <c r="A5" t="s">
        <v>14</v>
      </c>
      <c r="B5" t="s">
        <v>15</v>
      </c>
      <c r="C5" t="s">
        <v>16</v>
      </c>
      <c r="D5" t="s">
        <v>7</v>
      </c>
    </row>
    <row r="6" spans="1:4" x14ac:dyDescent="0.3">
      <c r="A6" t="s">
        <v>17</v>
      </c>
      <c r="B6" t="s">
        <v>18</v>
      </c>
      <c r="C6" t="s">
        <v>19</v>
      </c>
      <c r="D6" t="s">
        <v>20</v>
      </c>
    </row>
    <row r="7" spans="1:4" x14ac:dyDescent="0.3">
      <c r="A7" t="s">
        <v>21</v>
      </c>
      <c r="B7" t="s">
        <v>22</v>
      </c>
      <c r="C7" t="s">
        <v>6</v>
      </c>
      <c r="D7" t="s">
        <v>7</v>
      </c>
    </row>
    <row r="8" spans="1:4" x14ac:dyDescent="0.3">
      <c r="A8" t="s">
        <v>23</v>
      </c>
      <c r="B8" t="s">
        <v>24</v>
      </c>
      <c r="C8" t="s">
        <v>10</v>
      </c>
      <c r="D8" t="s">
        <v>7</v>
      </c>
    </row>
    <row r="9" spans="1:4" x14ac:dyDescent="0.3">
      <c r="A9" t="s">
        <v>25</v>
      </c>
      <c r="B9" t="s">
        <v>26</v>
      </c>
      <c r="C9" t="s">
        <v>13</v>
      </c>
      <c r="D9" t="s">
        <v>7</v>
      </c>
    </row>
    <row r="10" spans="1:4" x14ac:dyDescent="0.3">
      <c r="A10" t="s">
        <v>27</v>
      </c>
      <c r="B10" t="s">
        <v>28</v>
      </c>
      <c r="C10" t="s">
        <v>29</v>
      </c>
      <c r="D10" t="s">
        <v>20</v>
      </c>
    </row>
    <row r="11" spans="1:4" x14ac:dyDescent="0.3">
      <c r="A11" t="s">
        <v>30</v>
      </c>
      <c r="B11" t="s">
        <v>31</v>
      </c>
      <c r="C11" t="s">
        <v>19</v>
      </c>
      <c r="D11" t="s">
        <v>20</v>
      </c>
    </row>
    <row r="12" spans="1:4" x14ac:dyDescent="0.3">
      <c r="A12" t="s">
        <v>32</v>
      </c>
      <c r="B12" t="s">
        <v>33</v>
      </c>
      <c r="C12" t="s">
        <v>6</v>
      </c>
      <c r="D12" t="s">
        <v>7</v>
      </c>
    </row>
    <row r="13" spans="1:4" x14ac:dyDescent="0.3">
      <c r="A13" t="s">
        <v>34</v>
      </c>
      <c r="B13" t="s">
        <v>35</v>
      </c>
      <c r="C13" t="s">
        <v>16</v>
      </c>
      <c r="D13" t="s">
        <v>7</v>
      </c>
    </row>
    <row r="14" spans="1:4" x14ac:dyDescent="0.3">
      <c r="A14" t="s">
        <v>36</v>
      </c>
      <c r="B14" t="s">
        <v>37</v>
      </c>
      <c r="C14" t="s">
        <v>13</v>
      </c>
      <c r="D14" t="s">
        <v>7</v>
      </c>
    </row>
    <row r="15" spans="1:4" x14ac:dyDescent="0.3">
      <c r="A15" t="s">
        <v>38</v>
      </c>
      <c r="B15" t="s">
        <v>39</v>
      </c>
      <c r="C15" t="s">
        <v>29</v>
      </c>
      <c r="D15" t="s">
        <v>20</v>
      </c>
    </row>
    <row r="16" spans="1:4" x14ac:dyDescent="0.3">
      <c r="A16" t="s">
        <v>40</v>
      </c>
      <c r="B16" t="s">
        <v>41</v>
      </c>
      <c r="C16" t="s">
        <v>10</v>
      </c>
      <c r="D16" t="s">
        <v>7</v>
      </c>
    </row>
    <row r="17" spans="1:4" x14ac:dyDescent="0.3">
      <c r="A17" t="s">
        <v>42</v>
      </c>
      <c r="B17" t="s">
        <v>43</v>
      </c>
      <c r="C17" t="s">
        <v>6</v>
      </c>
      <c r="D17" t="s">
        <v>7</v>
      </c>
    </row>
    <row r="18" spans="1:4" x14ac:dyDescent="0.3">
      <c r="A18" t="s">
        <v>44</v>
      </c>
      <c r="B18" t="s">
        <v>45</v>
      </c>
      <c r="C18" t="s">
        <v>19</v>
      </c>
      <c r="D18" t="s">
        <v>20</v>
      </c>
    </row>
    <row r="19" spans="1:4" x14ac:dyDescent="0.3">
      <c r="A19" t="s">
        <v>46</v>
      </c>
      <c r="B19" t="s">
        <v>47</v>
      </c>
      <c r="C19" t="s">
        <v>13</v>
      </c>
      <c r="D19" t="s">
        <v>7</v>
      </c>
    </row>
    <row r="20" spans="1:4" x14ac:dyDescent="0.3">
      <c r="A20" t="s">
        <v>48</v>
      </c>
      <c r="B20" t="s">
        <v>49</v>
      </c>
      <c r="C20" t="s">
        <v>29</v>
      </c>
      <c r="D20" t="s">
        <v>20</v>
      </c>
    </row>
    <row r="21" spans="1:4" x14ac:dyDescent="0.3">
      <c r="A21" t="s">
        <v>50</v>
      </c>
      <c r="B21" t="s">
        <v>51</v>
      </c>
      <c r="C21" t="s">
        <v>16</v>
      </c>
      <c r="D21" t="s">
        <v>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950FBC6-49ED-4F35-A1DE-E1B106E41560}">
  <ds:schemaRefs/>
</ds:datastoreItem>
</file>

<file path=customXml/itemProps2.xml><?xml version="1.0" encoding="utf-8"?>
<ds:datastoreItem xmlns:ds="http://schemas.openxmlformats.org/officeDocument/2006/customXml" ds:itemID="{B7609B93-7B1A-4B97-AB52-ACC5F5EB35E4}">
  <ds:schemaRefs/>
</ds:datastoreItem>
</file>

<file path=customXml/itemProps3.xml><?xml version="1.0" encoding="utf-8"?>
<ds:datastoreItem xmlns:ds="http://schemas.openxmlformats.org/officeDocument/2006/customXml" ds:itemID="{C59984A6-4E48-47FE-8420-74D492C63BA2}">
  <ds:schemaRefs/>
</ds:datastoreItem>
</file>

<file path=customXml/itemProps4.xml><?xml version="1.0" encoding="utf-8"?>
<ds:datastoreItem xmlns:ds="http://schemas.openxmlformats.org/officeDocument/2006/customXml" ds:itemID="{0AC248FE-AC8C-4A3C-B439-ADA8286B475F}">
  <ds:schemaRefs/>
</ds:datastoreItem>
</file>

<file path=customXml/itemProps5.xml><?xml version="1.0" encoding="utf-8"?>
<ds:datastoreItem xmlns:ds="http://schemas.openxmlformats.org/officeDocument/2006/customXml" ds:itemID="{76A95434-238E-4288-ABC9-CE4BD18822A0}">
  <ds:schemaRefs/>
</ds:datastoreItem>
</file>

<file path=customXml/itemProps6.xml><?xml version="1.0" encoding="utf-8"?>
<ds:datastoreItem xmlns:ds="http://schemas.openxmlformats.org/officeDocument/2006/customXml" ds:itemID="{53111344-7212-4F1E-A275-F1E9273CB16D}">
  <ds:schemaRefs>
    <ds:schemaRef ds:uri="http://schemas.microsoft.com/DataMashup"/>
  </ds:schemaRefs>
</ds:datastoreItem>
</file>

<file path=customXml/itemProps7.xml><?xml version="1.0" encoding="utf-8"?>
<ds:datastoreItem xmlns:ds="http://schemas.openxmlformats.org/officeDocument/2006/customXml" ds:itemID="{8BBCEC88-D7E4-4A7D-80F8-AEC830ED5870}">
  <ds:schemaRefs/>
</ds:datastoreItem>
</file>

<file path=customXml/itemProps8.xml><?xml version="1.0" encoding="utf-8"?>
<ds:datastoreItem xmlns:ds="http://schemas.openxmlformats.org/officeDocument/2006/customXml" ds:itemID="{A93AF1F3-5C6B-4C63-9C72-431FE088D28E}">
  <ds:schemaRefs/>
</ds:datastoreItem>
</file>

<file path=customXml/itemProps9.xml><?xml version="1.0" encoding="utf-8"?>
<ds:datastoreItem xmlns:ds="http://schemas.openxmlformats.org/officeDocument/2006/customXml" ds:itemID="{F2D34761-0E35-4E69-8911-8425FEA06154}">
  <ds:schemaRefs/>
</ds:datastoreItem>
</file>

<file path=customXml/itemProps10.xml><?xml version="1.0" encoding="utf-8"?>
<ds:datastoreItem xmlns:ds="http://schemas.openxmlformats.org/officeDocument/2006/customXml" ds:itemID="{87E8907F-BB0D-4424-A38C-CE50EF6E78C6}">
  <ds:schemaRefs/>
</ds:datastoreItem>
</file>

<file path=customXml/itemProps11.xml><?xml version="1.0" encoding="utf-8"?>
<ds:datastoreItem xmlns:ds="http://schemas.openxmlformats.org/officeDocument/2006/customXml" ds:itemID="{909263F5-E017-42D6-95D2-570AFCA44B2D}">
  <ds:schemaRefs/>
</ds:datastoreItem>
</file>

<file path=customXml/itemProps12.xml><?xml version="1.0" encoding="utf-8"?>
<ds:datastoreItem xmlns:ds="http://schemas.openxmlformats.org/officeDocument/2006/customXml" ds:itemID="{5FAD1F8E-557E-49A0-907B-BB93FEEABAA2}">
  <ds:schemaRefs/>
</ds:datastoreItem>
</file>

<file path=customXml/itemProps13.xml><?xml version="1.0" encoding="utf-8"?>
<ds:datastoreItem xmlns:ds="http://schemas.openxmlformats.org/officeDocument/2006/customXml" ds:itemID="{20E6BEDA-1264-4E97-8882-E7F0687A1666}">
  <ds:schemaRefs/>
</ds:datastoreItem>
</file>

<file path=customXml/itemProps14.xml><?xml version="1.0" encoding="utf-8"?>
<ds:datastoreItem xmlns:ds="http://schemas.openxmlformats.org/officeDocument/2006/customXml" ds:itemID="{EEB8EAE4-47C6-4DFF-80F5-8E6B60B853E9}">
  <ds:schemaRefs/>
</ds:datastoreItem>
</file>

<file path=customXml/itemProps15.xml><?xml version="1.0" encoding="utf-8"?>
<ds:datastoreItem xmlns:ds="http://schemas.openxmlformats.org/officeDocument/2006/customXml" ds:itemID="{DA6FEBD4-59D1-48D8-96B0-F67DBA6C3916}">
  <ds:schemaRefs/>
</ds:datastoreItem>
</file>

<file path=customXml/itemProps16.xml><?xml version="1.0" encoding="utf-8"?>
<ds:datastoreItem xmlns:ds="http://schemas.openxmlformats.org/officeDocument/2006/customXml" ds:itemID="{B4EE6BE0-E29B-42E5-803F-EA07F06F65F3}">
  <ds:schemaRefs/>
</ds:datastoreItem>
</file>

<file path=customXml/itemProps17.xml><?xml version="1.0" encoding="utf-8"?>
<ds:datastoreItem xmlns:ds="http://schemas.openxmlformats.org/officeDocument/2006/customXml" ds:itemID="{14019A0E-0496-4AF4-B157-E0952CF27EA6}">
  <ds:schemaRefs/>
</ds:datastoreItem>
</file>

<file path=customXml/itemProps18.xml><?xml version="1.0" encoding="utf-8"?>
<ds:datastoreItem xmlns:ds="http://schemas.openxmlformats.org/officeDocument/2006/customXml" ds:itemID="{B24CEC8F-F980-46E7-BBCF-DEB4430AFE6A}">
  <ds:schemaRefs/>
</ds:datastoreItem>
</file>

<file path=customXml/itemProps19.xml><?xml version="1.0" encoding="utf-8"?>
<ds:datastoreItem xmlns:ds="http://schemas.openxmlformats.org/officeDocument/2006/customXml" ds:itemID="{1F3185C3-FDE7-43C6-8014-02FEBD211580}">
  <ds:schemaRefs/>
</ds:datastoreItem>
</file>

<file path=customXml/itemProps20.xml><?xml version="1.0" encoding="utf-8"?>
<ds:datastoreItem xmlns:ds="http://schemas.openxmlformats.org/officeDocument/2006/customXml" ds:itemID="{DC7879C5-4AF9-423B-AFD0-83C17C4BAB86}">
  <ds:schemaRefs/>
</ds:datastoreItem>
</file>

<file path=customXml/itemProps21.xml><?xml version="1.0" encoding="utf-8"?>
<ds:datastoreItem xmlns:ds="http://schemas.openxmlformats.org/officeDocument/2006/customXml" ds:itemID="{87B03AD6-2C9B-4733-BD4A-BF1748A353A5}">
  <ds:schemaRefs/>
</ds:datastoreItem>
</file>

<file path=customXml/itemProps22.xml><?xml version="1.0" encoding="utf-8"?>
<ds:datastoreItem xmlns:ds="http://schemas.openxmlformats.org/officeDocument/2006/customXml" ds:itemID="{4CC8309F-BD99-467D-BA51-8EC6558660BB}">
  <ds:schemaRefs/>
</ds:datastoreItem>
</file>

<file path=customXml/itemProps23.xml><?xml version="1.0" encoding="utf-8"?>
<ds:datastoreItem xmlns:ds="http://schemas.openxmlformats.org/officeDocument/2006/customXml" ds:itemID="{7966BCA0-8BED-4D1B-9C01-60BC4AEC01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Sales_Mar</vt:lpstr>
      <vt:lpstr>Sales_Jan</vt:lpstr>
      <vt:lpstr>Sales_Feb</vt:lpstr>
      <vt:lpstr>Products</vt:lpstr>
      <vt:lpstr>Sales</vt:lpstr>
      <vt:lpstr>Dashboard</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sayyad salman</dc:creator>
  <cp:lastModifiedBy>sayyad salman</cp:lastModifiedBy>
  <dcterms:created xsi:type="dcterms:W3CDTF">2026-08-04T05:12:29Z</dcterms:created>
  <dcterms:modified xsi:type="dcterms:W3CDTF">2026-08-05T15:50:46Z</dcterms:modified>
</cp:coreProperties>
</file>